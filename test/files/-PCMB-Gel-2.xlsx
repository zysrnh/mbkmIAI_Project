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490" windowHeight="4650"/>
  </bookViews>
  <sheets>
    <sheet name="EKS" sheetId="2" r:id="rId1"/>
    <sheet name="IQT" sheetId="3" r:id="rId2"/>
    <sheet name="KPI" sheetId="4" r:id="rId3"/>
    <sheet name="PAI" sheetId="5" r:id="rId4"/>
    <sheet name="PIAUD" sheetId="6" r:id="rId5"/>
    <sheet name="All" sheetId="7" r:id="rId6"/>
  </sheets>
  <calcPr calcId="144525"/>
</workbook>
</file>

<file path=xl/calcChain.xml><?xml version="1.0" encoding="utf-8"?>
<calcChain xmlns="http://schemas.openxmlformats.org/spreadsheetml/2006/main">
  <c r="H32" i="7" l="1"/>
  <c r="G27" i="7"/>
  <c r="G28" i="7"/>
  <c r="G29" i="7"/>
  <c r="G30" i="7"/>
  <c r="G26" i="7"/>
  <c r="G16" i="7"/>
  <c r="G17" i="7"/>
  <c r="G18" i="7"/>
  <c r="G19" i="7"/>
  <c r="G15" i="7"/>
  <c r="E32" i="7" l="1"/>
  <c r="F32" i="7"/>
  <c r="G32" i="7"/>
  <c r="G7" i="7"/>
  <c r="G8" i="7"/>
  <c r="F21" i="7"/>
  <c r="E21" i="7"/>
  <c r="G21" i="7" l="1"/>
  <c r="G4" i="7"/>
  <c r="G5" i="7"/>
  <c r="G6" i="7"/>
  <c r="F10" i="7"/>
  <c r="E10" i="7"/>
  <c r="G10" i="7" l="1"/>
</calcChain>
</file>

<file path=xl/sharedStrings.xml><?xml version="1.0" encoding="utf-8"?>
<sst xmlns="http://schemas.openxmlformats.org/spreadsheetml/2006/main" count="488" uniqueCount="211">
  <si>
    <t>No.</t>
  </si>
  <si>
    <t>Nomor</t>
  </si>
  <si>
    <t>Nama</t>
  </si>
  <si>
    <t>EKONOMI SYARIAH</t>
  </si>
  <si>
    <t>PENDIDIKAN AGAMA ISLAM</t>
  </si>
  <si>
    <t>PENDIDIKAN ISLAM ANAK USIA DINI</t>
  </si>
  <si>
    <t>ILMU AL-QUR`AN DAN TAFSIR</t>
  </si>
  <si>
    <t>KOMUNIKASI DAN PENYIARAN ISLAM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</si>
  <si>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</si>
  <si>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</si>
  <si>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Program Studi</t>
  </si>
  <si>
    <t>No Kontak</t>
  </si>
  <si>
    <t>Status</t>
  </si>
  <si>
    <t>Kode</t>
  </si>
  <si>
    <t>Tampung</t>
  </si>
  <si>
    <t>Pendaftar</t>
  </si>
  <si>
    <t>Prodi</t>
  </si>
  <si>
    <t>Belum Bayar</t>
  </si>
  <si>
    <t>Sudah Bayar</t>
  </si>
  <si>
    <t>Indri Yani</t>
  </si>
  <si>
    <t>Ravi Avrika</t>
  </si>
  <si>
    <t>Ismi Rohmatun Sholihat</t>
  </si>
  <si>
    <t>0895365172965</t>
  </si>
  <si>
    <t>085727434872</t>
  </si>
  <si>
    <t>081223098715</t>
  </si>
  <si>
    <t>0882000456189</t>
  </si>
  <si>
    <t>081946727429</t>
  </si>
  <si>
    <t>Pilihan</t>
  </si>
  <si>
    <t>Neni Triana</t>
  </si>
  <si>
    <t>Slamet Abdul Gani</t>
  </si>
  <si>
    <t>Asyfa Rizky Maulidina</t>
  </si>
  <si>
    <t>Syaura Ladaina Isma Muis</t>
  </si>
  <si>
    <t>Gilar Agiskara</t>
  </si>
  <si>
    <t>Afnan athaya al-mahfudz</t>
  </si>
  <si>
    <t>Azka Sabilarrahman Zaki</t>
  </si>
  <si>
    <t>Jumatul ramadan</t>
  </si>
  <si>
    <t>Istiqomah Azzahra</t>
  </si>
  <si>
    <t>Tiara Sabti Ahdiani</t>
  </si>
  <si>
    <t>HILMAN JAMILUDIN</t>
  </si>
  <si>
    <t>Tsalitsa Rahma Maulida</t>
  </si>
  <si>
    <t>Zain Mubarok</t>
  </si>
  <si>
    <t>Arif Firmansyah</t>
  </si>
  <si>
    <t>Fitri Damayanti</t>
  </si>
  <si>
    <t>RESTI RAHAYU</t>
  </si>
  <si>
    <t>Khoerunnisa Putri Prasetyo</t>
  </si>
  <si>
    <t>Azkia Zulfa Robbani</t>
  </si>
  <si>
    <t>Zaki Hildan Shiddiq</t>
  </si>
  <si>
    <t>Winarni shofia salsabila</t>
  </si>
  <si>
    <t>Tasya Aulia R</t>
  </si>
  <si>
    <t>Gilang faturrahman</t>
  </si>
  <si>
    <t>Reza Zaina Muttaqin</t>
  </si>
  <si>
    <t>Amalia Fajrin Nurfitria</t>
  </si>
  <si>
    <t>Rizal Febrian</t>
  </si>
  <si>
    <t>Tresna Laila Nisfah</t>
  </si>
  <si>
    <t>Abdul Razak Amir</t>
  </si>
  <si>
    <t>Fathia nur shafira</t>
  </si>
  <si>
    <t>Amalia Fauziah Rohmah</t>
  </si>
  <si>
    <t>Hubaib ash shidiq</t>
  </si>
  <si>
    <t>ARI IRAWAN</t>
  </si>
  <si>
    <t>Marsha Restianova</t>
  </si>
  <si>
    <t>Linawati</t>
  </si>
  <si>
    <t>Fakhri Mochamad Salman</t>
  </si>
  <si>
    <t>Ahmad Saeful Rohman</t>
  </si>
  <si>
    <t>Yusuf Anwar</t>
  </si>
  <si>
    <t>HANIF SOFIYUDDIN YUSUP</t>
  </si>
  <si>
    <t>Taupan Taupiq Qurohman</t>
  </si>
  <si>
    <t>SALSABILA KHAIRUNISA</t>
  </si>
  <si>
    <t>Lutfi prihandini</t>
  </si>
  <si>
    <t>Salwa Salsabila</t>
  </si>
  <si>
    <t>Alfiyani Nurfazriyah</t>
  </si>
  <si>
    <t>Aulia khoffiyatur rahma budiman</t>
  </si>
  <si>
    <t>Nurul Hikmah</t>
  </si>
  <si>
    <t>Salsabila Luthfiah Khaerunnisa</t>
  </si>
  <si>
    <t>Fitria aisyah nurjamilah</t>
  </si>
  <si>
    <t>Jihan Fatiyyah</t>
  </si>
  <si>
    <t>Irma Raihanah</t>
  </si>
  <si>
    <t>Alfiyyah Fauziyyah</t>
  </si>
  <si>
    <t>SITI NURIYANTI</t>
  </si>
  <si>
    <t>SIGIT HAMDANI</t>
  </si>
  <si>
    <t>Rindi Afriani</t>
  </si>
  <si>
    <t>Muhammad Naufal Zuhdi Alhusaini</t>
  </si>
  <si>
    <t>Andie Al Rasyied</t>
  </si>
  <si>
    <t>RAUDA INDRIYANTI</t>
  </si>
  <si>
    <t>083184341853</t>
  </si>
  <si>
    <t>0895331457106</t>
  </si>
  <si>
    <t>0895323079698</t>
  </si>
  <si>
    <t>088802102048</t>
  </si>
  <si>
    <t>082316788798</t>
  </si>
  <si>
    <t>08812213197</t>
  </si>
  <si>
    <t>087736771766</t>
  </si>
  <si>
    <t>081717441149</t>
  </si>
  <si>
    <t>081324586501</t>
  </si>
  <si>
    <t>0881022379903</t>
  </si>
  <si>
    <t>08986479588</t>
  </si>
  <si>
    <t>085784686693</t>
  </si>
  <si>
    <t>0895343403866</t>
  </si>
  <si>
    <t>085740676475</t>
  </si>
  <si>
    <t>081221549364</t>
  </si>
  <si>
    <t>085926295210</t>
  </si>
  <si>
    <t>083898594949</t>
  </si>
  <si>
    <t>089531505796</t>
  </si>
  <si>
    <t>081217355953</t>
  </si>
  <si>
    <t>0895802436251</t>
  </si>
  <si>
    <t>082117327203</t>
  </si>
  <si>
    <t>08997156831</t>
  </si>
  <si>
    <t>08979973533</t>
  </si>
  <si>
    <t>085795056374</t>
  </si>
  <si>
    <t>085794285018</t>
  </si>
  <si>
    <t>082256106470</t>
  </si>
  <si>
    <t>087822419624</t>
  </si>
  <si>
    <t>082320699614</t>
  </si>
  <si>
    <t>081221062754</t>
  </si>
  <si>
    <t>081221952743</t>
  </si>
  <si>
    <t>089697292140</t>
  </si>
  <si>
    <t>082112816206</t>
  </si>
  <si>
    <t>085956249366</t>
  </si>
  <si>
    <t>082315045324</t>
  </si>
  <si>
    <t>081222627184</t>
  </si>
  <si>
    <t>085162898767</t>
  </si>
  <si>
    <t>085794763054</t>
  </si>
  <si>
    <t>081411092863</t>
  </si>
  <si>
    <t>088224349843</t>
  </si>
  <si>
    <t>085224458273</t>
  </si>
  <si>
    <t>0881023484611</t>
  </si>
  <si>
    <t>088220772511</t>
  </si>
  <si>
    <t>081220388713</t>
  </si>
  <si>
    <t>0895383234064</t>
  </si>
  <si>
    <t>083103780216</t>
  </si>
  <si>
    <t>0895351462666</t>
  </si>
  <si>
    <t>081291017699</t>
  </si>
  <si>
    <t>085723534328</t>
  </si>
  <si>
    <t>083104733142</t>
  </si>
  <si>
    <t>083157137080</t>
  </si>
  <si>
    <t>08988751008</t>
  </si>
  <si>
    <t>085794808579</t>
  </si>
  <si>
    <t>088220701162</t>
  </si>
  <si>
    <t>Gel 1</t>
  </si>
  <si>
    <t>Gel 2</t>
  </si>
  <si>
    <t>Total</t>
  </si>
  <si>
    <t>Konfirm</t>
  </si>
  <si>
    <t>Abdan syakuro</t>
  </si>
  <si>
    <t>Muslim mainilaka</t>
  </si>
  <si>
    <t>Moh Insan Syawaludin Hidayat</t>
  </si>
  <si>
    <t>Azmi Amanullah</t>
  </si>
  <si>
    <t>Fadli husni ziad</t>
  </si>
  <si>
    <t>Razan Zhafran Ali Basya</t>
  </si>
  <si>
    <t>SITI AISAH</t>
  </si>
  <si>
    <t>Saad Abdullah</t>
  </si>
  <si>
    <t> Print</t>
  </si>
  <si>
    <t>083823261216</t>
  </si>
  <si>
    <t>081221685150</t>
  </si>
  <si>
    <t>085156294350</t>
  </si>
  <si>
    <t>08562283173</t>
  </si>
  <si>
    <t>083120133807</t>
  </si>
  <si>
    <t>089654235000</t>
  </si>
  <si>
    <t>085861035540</t>
  </si>
  <si>
    <t>081224628758</t>
  </si>
  <si>
    <t>Intan Zalfa Maharani</t>
  </si>
  <si>
    <t>Nur Aisyah Jamil</t>
  </si>
  <si>
    <t>0895413779018</t>
  </si>
  <si>
    <t>0881022048558</t>
  </si>
  <si>
    <t>Yayan Sahdian Munthe</t>
  </si>
  <si>
    <t>NINGMAS KHOLILLAH HULYATUL JANNAH</t>
  </si>
  <si>
    <t>Tresna Laila nisfah</t>
  </si>
  <si>
    <t>Indah Nur Salamah</t>
  </si>
  <si>
    <t>Najmi Arini Putri</t>
  </si>
  <si>
    <t>Zanjabila Az-zahra</t>
  </si>
  <si>
    <t>MUHAMAD MUFTI FAUZI</t>
  </si>
  <si>
    <t>Siti Asiyah Nurul Jannah</t>
  </si>
  <si>
    <t>Dera Selviani Anwar</t>
  </si>
  <si>
    <t>Syifa Vadlin Nur Rohmah</t>
  </si>
  <si>
    <t>Nadia Habibah Ulfa</t>
  </si>
  <si>
    <t>Nisa Fitria Hanifah</t>
  </si>
  <si>
    <t>Nisa septiani liswanti</t>
  </si>
  <si>
    <t>Muhammad Adnan Najmudin</t>
  </si>
  <si>
    <t>08997162971</t>
  </si>
  <si>
    <t>088223049231</t>
  </si>
  <si>
    <t>857-4067-6475</t>
  </si>
  <si>
    <t>882-1359-9841</t>
  </si>
  <si>
    <t>083844966311</t>
  </si>
  <si>
    <t>085353028401</t>
  </si>
  <si>
    <t>081224363239</t>
  </si>
  <si>
    <t>083877051166</t>
  </si>
  <si>
    <t>083877256371</t>
  </si>
  <si>
    <t>083130572196</t>
  </si>
  <si>
    <t>08996640503</t>
  </si>
  <si>
    <t>081572561860</t>
  </si>
  <si>
    <t>089688319464</t>
  </si>
  <si>
    <t>Filda Zahrina Ramadhani Zaozan Putri</t>
  </si>
  <si>
    <t>Nanana</t>
  </si>
  <si>
    <t>Zaskia Keisya Dzikra Rabbani</t>
  </si>
  <si>
    <t>Ayu Nurul Hasna Kamilah</t>
  </si>
  <si>
    <t>Risya sabila</t>
  </si>
  <si>
    <t>0895358270502</t>
  </si>
  <si>
    <t>089772633836</t>
  </si>
  <si>
    <t>0895321774735</t>
  </si>
  <si>
    <t>082119569929</t>
  </si>
  <si>
    <t>081229543233</t>
  </si>
  <si>
    <r>
      <t> </t>
    </r>
    <r>
      <rPr>
        <sz val="11"/>
        <color rgb="FF00B050"/>
        <rFont val="Wingdings 2"/>
        <family val="1"/>
        <charset val="2"/>
      </rPr>
      <t>P</t>
    </r>
  </si>
  <si>
    <t>Tiara maharani</t>
  </si>
  <si>
    <t>Kla Meuthia Weningtyas</t>
  </si>
  <si>
    <t>Yinyang Anisa Oktaviani</t>
  </si>
  <si>
    <t>Nova Karisma</t>
  </si>
  <si>
    <t>Inda suharlin</t>
  </si>
  <si>
    <t>088971656413</t>
  </si>
  <si>
    <t>088220366247</t>
  </si>
  <si>
    <t>087759025146</t>
  </si>
  <si>
    <t>081216502141</t>
  </si>
  <si>
    <t>Luslus Gel 1</t>
  </si>
  <si>
    <t>Luslus Gel 2</t>
  </si>
  <si>
    <t>Luslus Gel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</si>
</sst>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sz val="11"/>
      <color rgb="FF333333"/>
      <name val="Calibri"/>
      <family val="2"/>
      <scheme val="minor"/>
    </font>
    <font>
      <sz val="11"/>
      <color rgb="FF333333"/>
      <name val="Arial"/>
      <family val="2"/>
    </font>
    <font>
      <sz val="11"/>
      <color rgb="FF00B050"/>
      <name val="Calibri"/>
      <family val="2"/>
      <scheme val="minor"/>
    </font>
    <font>
      <sz val="11"/>
      <color rgb="FF00B050"/>
      <name val="Wingdings 2"/>
      <family val="1"/>
      <charset val="2"/>
    </font>
    <font>
      <sz val="11"/>
      <color rgb="FFFF0000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5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tabSelected="1" workbookViewId="0">
      <selection activeCell="C20" sqref="C20"/>
    </sheetView>
  </sheetViews>
  <sheetFormatPr defaultRowHeight="15" x14ac:dyDescent="0.25"/>
  <cols>
    <col min="1" max="1" width="3.5703125" style="8" customWidth="1"/>
    <col min="2" max="2" width="10" bestFit="1" customWidth="1"/>
    <col min="3" max="3" width="32.7109375" bestFit="1" customWidth="1"/>
    <col min="4" max="4" width="18" bestFit="1" customWidth="1"/>
    <col min="6" max="6" width="14.28515625" style="14" customWidth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10</v>
      </c>
      <c r="E2" s="2" t="s">
        <v>12</v>
      </c>
      <c r="F2" s="1" t="s">
        <v>11</v>
      </c>
    </row>
    <row r="3" spans="1:6" x14ac:dyDescent="0.25">
      <c r="A3" s="18">
        <v>1</v>
      </c>
      <c r="B3" s="19">
        <v>202200556</v>
      </c>
      <c r="C3" s="19" t="s">
        <v>199</v>
      </c>
      <c r="D3" s="19" t="s">
        <v>3</v>
      </c>
      <c r="E3" s="28" t="s">
        <v>8</v>
      </c>
      <c r="F3" s="32">
        <v>83816080023</v>
      </c>
    </row>
    <row r="4" spans="1:6" x14ac:dyDescent="0.25">
      <c r="A4" s="18">
        <v>2</v>
      </c>
      <c r="B4" s="19">
        <v>202200554</v>
      </c>
      <c r="C4" s="19" t="s">
        <v>200</v>
      </c>
      <c r="D4" s="19" t="s">
        <v>3</v>
      </c>
      <c r="E4" s="28" t="s">
        <v>8</v>
      </c>
      <c r="F4" s="15" t="s">
        <v>204</v>
      </c>
    </row>
    <row r="5" spans="1:6" x14ac:dyDescent="0.25">
      <c r="A5" s="18">
        <v>3</v>
      </c>
      <c r="B5" s="19">
        <v>202200542</v>
      </c>
      <c r="C5" s="19" t="s">
        <v>201</v>
      </c>
      <c r="D5" s="19" t="s">
        <v>3</v>
      </c>
      <c r="E5" s="28" t="s">
        <v>8</v>
      </c>
      <c r="F5" s="15" t="s">
        <v>205</v>
      </c>
    </row>
    <row r="6" spans="1:6" x14ac:dyDescent="0.25">
      <c r="A6" s="18">
        <v>4</v>
      </c>
      <c r="B6" s="19">
        <v>202200531</v>
      </c>
      <c r="C6" s="19" t="s">
        <v>202</v>
      </c>
      <c r="D6" s="19" t="s">
        <v>3</v>
      </c>
      <c r="E6" s="28" t="s">
        <v>8</v>
      </c>
      <c r="F6" s="15" t="s">
        <v>206</v>
      </c>
    </row>
    <row r="7" spans="1:6" x14ac:dyDescent="0.25">
      <c r="A7" s="18">
        <v>5</v>
      </c>
      <c r="B7" s="19">
        <v>202200530</v>
      </c>
      <c r="C7" s="19" t="s">
        <v>203</v>
      </c>
      <c r="D7" s="19" t="s">
        <v>3</v>
      </c>
      <c r="E7" s="27" t="s">
        <v>198</v>
      </c>
      <c r="F7" s="15" t="s">
        <v>207</v>
      </c>
    </row>
    <row r="8" spans="1:6" x14ac:dyDescent="0.25">
      <c r="A8" s="18">
        <v>6</v>
      </c>
      <c r="B8" s="19">
        <v>202200495</v>
      </c>
      <c r="C8" s="19" t="s">
        <v>77</v>
      </c>
      <c r="D8" s="19" t="s">
        <v>3</v>
      </c>
      <c r="E8" s="27" t="s">
        <v>198</v>
      </c>
      <c r="F8" s="11" t="s">
        <v>111</v>
      </c>
    </row>
    <row r="9" spans="1:6" x14ac:dyDescent="0.25">
      <c r="A9" s="18">
        <v>7</v>
      </c>
      <c r="B9" s="19">
        <v>202200474</v>
      </c>
      <c r="C9" s="19" t="s">
        <v>78</v>
      </c>
      <c r="D9" s="19" t="s">
        <v>3</v>
      </c>
      <c r="E9" s="27" t="s">
        <v>198</v>
      </c>
      <c r="F9" s="11" t="s">
        <v>112</v>
      </c>
    </row>
    <row r="10" spans="1:6" x14ac:dyDescent="0.25">
      <c r="A10" s="18">
        <v>8</v>
      </c>
      <c r="B10" s="19">
        <v>202200470</v>
      </c>
      <c r="C10" s="19" t="s">
        <v>79</v>
      </c>
      <c r="D10" s="19" t="s">
        <v>3</v>
      </c>
      <c r="E10" s="27" t="s">
        <v>198</v>
      </c>
      <c r="F10" s="11" t="s">
        <v>113</v>
      </c>
    </row>
    <row r="11" spans="1:6" x14ac:dyDescent="0.25">
      <c r="A11" s="18">
        <v>9</v>
      </c>
      <c r="B11" s="19">
        <v>202200467</v>
      </c>
      <c r="C11" s="19" t="s">
        <v>80</v>
      </c>
      <c r="D11" s="19" t="s">
        <v>3</v>
      </c>
      <c r="E11" s="28" t="s">
        <v>8</v>
      </c>
      <c r="F11" s="11" t="s">
        <v>114</v>
      </c>
    </row>
    <row r="12" spans="1:6" x14ac:dyDescent="0.25">
      <c r="A12" s="18">
        <v>10</v>
      </c>
      <c r="B12" s="19">
        <v>202200455</v>
      </c>
      <c r="C12" s="19" t="s">
        <v>81</v>
      </c>
      <c r="D12" s="19" t="s">
        <v>3</v>
      </c>
      <c r="E12" s="28" t="s">
        <v>8</v>
      </c>
      <c r="F12" s="11" t="s">
        <v>115</v>
      </c>
    </row>
    <row r="13" spans="1:6" x14ac:dyDescent="0.25">
      <c r="A13" s="18">
        <v>11</v>
      </c>
      <c r="B13" s="19">
        <v>202200444</v>
      </c>
      <c r="C13" s="19" t="s">
        <v>82</v>
      </c>
      <c r="D13" s="19" t="s">
        <v>3</v>
      </c>
      <c r="E13" s="27" t="s">
        <v>198</v>
      </c>
      <c r="F13" s="1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topLeftCell="A7" workbookViewId="0">
      <selection activeCell="I20" sqref="I20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3.7109375" bestFit="1" customWidth="1"/>
    <col min="4" max="4" width="27.28515625" bestFit="1" customWidth="1"/>
    <col min="5" max="5" width="12" bestFit="1" customWidth="1"/>
    <col min="6" max="6" width="15.5703125" style="12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27</v>
      </c>
      <c r="E2" s="16" t="s">
        <v>12</v>
      </c>
      <c r="F2" s="17" t="s">
        <v>11</v>
      </c>
    </row>
    <row r="3" spans="1:6" x14ac:dyDescent="0.25">
      <c r="A3" s="16">
        <v>1</v>
      </c>
      <c r="B3" s="4">
        <v>202200540</v>
      </c>
      <c r="C3" s="4" t="s">
        <v>34</v>
      </c>
      <c r="D3" s="4" t="s">
        <v>6</v>
      </c>
      <c r="E3" s="6" t="s">
        <v>8</v>
      </c>
      <c r="F3" s="13" t="s">
        <v>123</v>
      </c>
    </row>
    <row r="4" spans="1:6" x14ac:dyDescent="0.25">
      <c r="A4" s="16">
        <v>2</v>
      </c>
      <c r="B4" s="4">
        <v>202200538</v>
      </c>
      <c r="C4" s="4" t="s">
        <v>140</v>
      </c>
      <c r="D4" s="4" t="s">
        <v>6</v>
      </c>
      <c r="E4" s="6" t="s">
        <v>8</v>
      </c>
      <c r="F4" s="13" t="s">
        <v>149</v>
      </c>
    </row>
    <row r="5" spans="1:6" x14ac:dyDescent="0.25">
      <c r="A5" s="16">
        <v>3</v>
      </c>
      <c r="B5" s="4">
        <v>202200535</v>
      </c>
      <c r="C5" s="4" t="s">
        <v>141</v>
      </c>
      <c r="D5" s="4" t="s">
        <v>6</v>
      </c>
      <c r="E5" s="6" t="s">
        <v>8</v>
      </c>
      <c r="F5" s="13" t="s">
        <v>150</v>
      </c>
    </row>
    <row r="6" spans="1:6" x14ac:dyDescent="0.25">
      <c r="A6" s="16">
        <v>4</v>
      </c>
      <c r="B6" s="4">
        <v>202200534</v>
      </c>
      <c r="C6" s="4" t="s">
        <v>142</v>
      </c>
      <c r="D6" s="4" t="s">
        <v>6</v>
      </c>
      <c r="E6" s="6" t="s">
        <v>8</v>
      </c>
      <c r="F6" s="13" t="s">
        <v>151</v>
      </c>
    </row>
    <row r="7" spans="1:6" x14ac:dyDescent="0.25">
      <c r="A7" s="16">
        <v>5</v>
      </c>
      <c r="B7" s="4">
        <v>202200533</v>
      </c>
      <c r="C7" s="4" t="s">
        <v>143</v>
      </c>
      <c r="D7" s="4" t="s">
        <v>6</v>
      </c>
      <c r="E7" s="6" t="s">
        <v>8</v>
      </c>
      <c r="F7" s="13" t="s">
        <v>152</v>
      </c>
    </row>
    <row r="8" spans="1:6" x14ac:dyDescent="0.25">
      <c r="A8" s="16">
        <v>6</v>
      </c>
      <c r="B8" s="4">
        <v>202200529</v>
      </c>
      <c r="C8" s="4" t="s">
        <v>144</v>
      </c>
      <c r="D8" s="4" t="s">
        <v>6</v>
      </c>
      <c r="E8" s="6" t="s">
        <v>8</v>
      </c>
      <c r="F8" s="13" t="s">
        <v>153</v>
      </c>
    </row>
    <row r="9" spans="1:6" x14ac:dyDescent="0.25">
      <c r="A9" s="16">
        <v>7</v>
      </c>
      <c r="B9" s="4">
        <v>202200522</v>
      </c>
      <c r="C9" s="4" t="s">
        <v>145</v>
      </c>
      <c r="D9" s="4" t="s">
        <v>6</v>
      </c>
      <c r="E9" s="6" t="s">
        <v>8</v>
      </c>
      <c r="F9" s="13" t="s">
        <v>154</v>
      </c>
    </row>
    <row r="10" spans="1:6" x14ac:dyDescent="0.25">
      <c r="A10" s="16">
        <v>8</v>
      </c>
      <c r="B10" s="4">
        <v>202200521</v>
      </c>
      <c r="C10" s="4" t="s">
        <v>146</v>
      </c>
      <c r="D10" s="4" t="s">
        <v>6</v>
      </c>
      <c r="E10" s="6" t="s">
        <v>8</v>
      </c>
      <c r="F10" s="13" t="s">
        <v>155</v>
      </c>
    </row>
    <row r="11" spans="1:6" x14ac:dyDescent="0.25">
      <c r="A11" s="16">
        <v>9</v>
      </c>
      <c r="B11" s="4">
        <v>202200518</v>
      </c>
      <c r="C11" s="4" t="s">
        <v>147</v>
      </c>
      <c r="D11" s="4" t="s">
        <v>6</v>
      </c>
      <c r="E11" s="5" t="s">
        <v>9</v>
      </c>
      <c r="F11" s="13" t="s">
        <v>156</v>
      </c>
    </row>
    <row r="12" spans="1:6" x14ac:dyDescent="0.25">
      <c r="A12" s="16">
        <v>10</v>
      </c>
      <c r="B12" s="4">
        <v>202200515</v>
      </c>
      <c r="C12" s="24" t="s">
        <v>28</v>
      </c>
      <c r="D12" s="4" t="s">
        <v>6</v>
      </c>
      <c r="E12" s="6" t="s">
        <v>8</v>
      </c>
      <c r="F12" s="11" t="s">
        <v>117</v>
      </c>
    </row>
    <row r="13" spans="1:6" x14ac:dyDescent="0.25">
      <c r="A13" s="16">
        <v>11</v>
      </c>
      <c r="B13" s="4">
        <v>202200514</v>
      </c>
      <c r="C13" s="4" t="s">
        <v>21</v>
      </c>
      <c r="D13" s="4" t="s">
        <v>6</v>
      </c>
      <c r="E13" s="6" t="s">
        <v>8</v>
      </c>
      <c r="F13" s="11" t="s">
        <v>22</v>
      </c>
    </row>
    <row r="14" spans="1:6" x14ac:dyDescent="0.25">
      <c r="A14" s="16">
        <v>12</v>
      </c>
      <c r="B14" s="4">
        <v>202200496</v>
      </c>
      <c r="C14" s="4" t="s">
        <v>29</v>
      </c>
      <c r="D14" s="4" t="s">
        <v>6</v>
      </c>
      <c r="E14" s="6" t="s">
        <v>8</v>
      </c>
      <c r="F14" s="15" t="s">
        <v>118</v>
      </c>
    </row>
    <row r="15" spans="1:6" x14ac:dyDescent="0.25">
      <c r="A15" s="16">
        <v>13</v>
      </c>
      <c r="B15" s="4">
        <v>202200491</v>
      </c>
      <c r="C15" s="4" t="s">
        <v>30</v>
      </c>
      <c r="D15" s="4" t="s">
        <v>6</v>
      </c>
      <c r="E15" s="6" t="s">
        <v>8</v>
      </c>
      <c r="F15" s="15" t="s">
        <v>119</v>
      </c>
    </row>
    <row r="16" spans="1:6" x14ac:dyDescent="0.25">
      <c r="A16" s="16">
        <v>14</v>
      </c>
      <c r="B16" s="4">
        <v>202200486</v>
      </c>
      <c r="C16" s="4" t="s">
        <v>31</v>
      </c>
      <c r="D16" s="4" t="s">
        <v>6</v>
      </c>
      <c r="E16" s="5" t="s">
        <v>9</v>
      </c>
      <c r="F16" s="15" t="s">
        <v>120</v>
      </c>
    </row>
    <row r="17" spans="1:6" x14ac:dyDescent="0.25">
      <c r="A17" s="16">
        <v>15</v>
      </c>
      <c r="B17" s="4">
        <v>202200485</v>
      </c>
      <c r="C17" s="4" t="s">
        <v>32</v>
      </c>
      <c r="D17" s="4" t="s">
        <v>6</v>
      </c>
      <c r="E17" s="5" t="s">
        <v>9</v>
      </c>
      <c r="F17" s="15" t="s">
        <v>121</v>
      </c>
    </row>
    <row r="18" spans="1:6" x14ac:dyDescent="0.25">
      <c r="A18" s="16">
        <v>16</v>
      </c>
      <c r="B18" s="4">
        <v>202200478</v>
      </c>
      <c r="C18" s="4" t="s">
        <v>33</v>
      </c>
      <c r="D18" s="4" t="s">
        <v>6</v>
      </c>
      <c r="E18" s="5" t="s">
        <v>9</v>
      </c>
      <c r="F18" s="15" t="s">
        <v>122</v>
      </c>
    </row>
    <row r="19" spans="1:6" x14ac:dyDescent="0.25">
      <c r="A19" s="16">
        <v>17</v>
      </c>
      <c r="B19" s="4">
        <v>202200473</v>
      </c>
      <c r="C19" s="4" t="s">
        <v>35</v>
      </c>
      <c r="D19" s="4" t="s">
        <v>6</v>
      </c>
      <c r="E19" s="5" t="s">
        <v>9</v>
      </c>
      <c r="F19" s="15" t="s">
        <v>124</v>
      </c>
    </row>
    <row r="20" spans="1:6" x14ac:dyDescent="0.25">
      <c r="A20" s="16">
        <v>18</v>
      </c>
      <c r="B20" s="4">
        <v>202200472</v>
      </c>
      <c r="C20" s="4" t="s">
        <v>36</v>
      </c>
      <c r="D20" s="4" t="s">
        <v>6</v>
      </c>
      <c r="E20" s="5" t="s">
        <v>9</v>
      </c>
      <c r="F20" s="15" t="s">
        <v>125</v>
      </c>
    </row>
    <row r="21" spans="1:6" x14ac:dyDescent="0.25">
      <c r="A21" s="16">
        <v>19</v>
      </c>
      <c r="B21" s="4">
        <v>202200468</v>
      </c>
      <c r="C21" s="4" t="s">
        <v>37</v>
      </c>
      <c r="D21" s="4" t="s">
        <v>6</v>
      </c>
      <c r="E21" s="5" t="s">
        <v>9</v>
      </c>
      <c r="F21" s="15" t="s">
        <v>126</v>
      </c>
    </row>
    <row r="22" spans="1:6" x14ac:dyDescent="0.25">
      <c r="A22" s="16">
        <v>20</v>
      </c>
      <c r="B22" s="4">
        <v>202200465</v>
      </c>
      <c r="C22" s="4" t="s">
        <v>20</v>
      </c>
      <c r="D22" s="4" t="s">
        <v>6</v>
      </c>
      <c r="E22" s="6" t="s">
        <v>8</v>
      </c>
      <c r="F22" s="11" t="s">
        <v>23</v>
      </c>
    </row>
    <row r="23" spans="1:6" x14ac:dyDescent="0.25">
      <c r="A23" s="16">
        <v>21</v>
      </c>
      <c r="B23" s="4">
        <v>202200456</v>
      </c>
      <c r="C23" s="4" t="s">
        <v>38</v>
      </c>
      <c r="D23" s="4" t="s">
        <v>6</v>
      </c>
      <c r="E23" s="5" t="s">
        <v>9</v>
      </c>
      <c r="F23" s="15" t="s">
        <v>127</v>
      </c>
    </row>
    <row r="24" spans="1:6" x14ac:dyDescent="0.25">
      <c r="A24" s="16">
        <v>22</v>
      </c>
      <c r="B24" s="4">
        <v>202200454</v>
      </c>
      <c r="C24" s="4" t="s">
        <v>39</v>
      </c>
      <c r="D24" s="4" t="s">
        <v>6</v>
      </c>
      <c r="E24" s="6" t="s">
        <v>8</v>
      </c>
      <c r="F24" s="15" t="s">
        <v>128</v>
      </c>
    </row>
    <row r="25" spans="1:6" x14ac:dyDescent="0.25">
      <c r="F25" s="1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H7" sqref="H7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5.5703125" bestFit="1" customWidth="1"/>
    <col min="4" max="4" width="34.42578125" bestFit="1" customWidth="1"/>
    <col min="6" max="6" width="16.7109375" style="14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27</v>
      </c>
      <c r="E2" s="16" t="s">
        <v>12</v>
      </c>
      <c r="F2" s="17" t="s">
        <v>11</v>
      </c>
    </row>
    <row r="3" spans="1:6" x14ac:dyDescent="0.25">
      <c r="A3" s="16">
        <v>1</v>
      </c>
      <c r="B3" s="4">
        <v>202200546</v>
      </c>
      <c r="C3" s="4" t="s">
        <v>157</v>
      </c>
      <c r="D3" s="4" t="s">
        <v>7</v>
      </c>
      <c r="E3" s="6" t="s">
        <v>8</v>
      </c>
      <c r="F3" s="15" t="s">
        <v>159</v>
      </c>
    </row>
    <row r="4" spans="1:6" x14ac:dyDescent="0.25">
      <c r="A4" s="16">
        <v>2</v>
      </c>
      <c r="B4" s="4">
        <v>202200519</v>
      </c>
      <c r="C4" s="4" t="s">
        <v>158</v>
      </c>
      <c r="D4" s="4" t="s">
        <v>7</v>
      </c>
      <c r="E4" s="6" t="s">
        <v>8</v>
      </c>
      <c r="F4" s="15" t="s">
        <v>160</v>
      </c>
    </row>
    <row r="5" spans="1:6" x14ac:dyDescent="0.25">
      <c r="A5" s="16">
        <v>3</v>
      </c>
      <c r="B5" s="4">
        <v>202200512</v>
      </c>
      <c r="C5" s="4" t="s">
        <v>40</v>
      </c>
      <c r="D5" s="4" t="s">
        <v>7</v>
      </c>
      <c r="E5" s="6" t="s">
        <v>8</v>
      </c>
      <c r="F5" s="11" t="s">
        <v>129</v>
      </c>
    </row>
    <row r="6" spans="1:6" x14ac:dyDescent="0.25">
      <c r="A6" s="16">
        <v>4</v>
      </c>
      <c r="B6" s="4">
        <v>202200509</v>
      </c>
      <c r="C6" s="4" t="s">
        <v>41</v>
      </c>
      <c r="D6" s="4" t="s">
        <v>7</v>
      </c>
      <c r="E6" s="5" t="s">
        <v>9</v>
      </c>
      <c r="F6" s="11" t="s">
        <v>130</v>
      </c>
    </row>
    <row r="7" spans="1:6" x14ac:dyDescent="0.25">
      <c r="A7" s="16">
        <v>5</v>
      </c>
      <c r="B7" s="4">
        <v>202200506</v>
      </c>
      <c r="C7" s="4" t="s">
        <v>42</v>
      </c>
      <c r="D7" s="4" t="s">
        <v>7</v>
      </c>
      <c r="E7" s="6" t="s">
        <v>8</v>
      </c>
      <c r="F7" s="11" t="s">
        <v>131</v>
      </c>
    </row>
    <row r="8" spans="1:6" x14ac:dyDescent="0.25">
      <c r="A8" s="16">
        <v>6</v>
      </c>
      <c r="B8" s="4">
        <v>202200499</v>
      </c>
      <c r="C8" s="4" t="s">
        <v>43</v>
      </c>
      <c r="D8" s="4" t="s">
        <v>7</v>
      </c>
      <c r="E8" s="6" t="s">
        <v>8</v>
      </c>
      <c r="F8" s="11" t="s">
        <v>132</v>
      </c>
    </row>
    <row r="9" spans="1:6" x14ac:dyDescent="0.25">
      <c r="A9" s="16">
        <v>7</v>
      </c>
      <c r="B9" s="4">
        <v>202200481</v>
      </c>
      <c r="C9" s="4" t="s">
        <v>44</v>
      </c>
      <c r="D9" s="4" t="s">
        <v>7</v>
      </c>
      <c r="E9" s="6" t="s">
        <v>8</v>
      </c>
      <c r="F9" s="11" t="s">
        <v>133</v>
      </c>
    </row>
    <row r="10" spans="1:6" x14ac:dyDescent="0.25">
      <c r="A10" s="16">
        <v>8</v>
      </c>
      <c r="B10" s="4">
        <v>202200480</v>
      </c>
      <c r="C10" s="4" t="s">
        <v>45</v>
      </c>
      <c r="D10" s="4" t="s">
        <v>7</v>
      </c>
      <c r="E10" s="6" t="s">
        <v>8</v>
      </c>
      <c r="F10" s="11" t="s">
        <v>134</v>
      </c>
    </row>
    <row r="11" spans="1:6" x14ac:dyDescent="0.25">
      <c r="A11" s="16">
        <v>9</v>
      </c>
      <c r="B11" s="4">
        <v>202200477</v>
      </c>
      <c r="C11" s="4" t="s">
        <v>46</v>
      </c>
      <c r="D11" s="4" t="s">
        <v>7</v>
      </c>
      <c r="E11" s="6" t="s">
        <v>8</v>
      </c>
      <c r="F11" s="11" t="s">
        <v>25</v>
      </c>
    </row>
    <row r="12" spans="1:6" x14ac:dyDescent="0.25">
      <c r="A12" s="16">
        <v>10</v>
      </c>
      <c r="B12" s="4">
        <v>202200471</v>
      </c>
      <c r="C12" s="4" t="s">
        <v>47</v>
      </c>
      <c r="D12" s="4" t="s">
        <v>7</v>
      </c>
      <c r="E12" s="6" t="s">
        <v>8</v>
      </c>
      <c r="F12" s="15" t="s">
        <v>135</v>
      </c>
    </row>
    <row r="14" spans="1:6" x14ac:dyDescent="0.25">
      <c r="A14" s="8">
        <v>1</v>
      </c>
    </row>
    <row r="15" spans="1:6" x14ac:dyDescent="0.25">
      <c r="A15" s="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7"/>
  <sheetViews>
    <sheetView topLeftCell="A13" zoomScale="85" zoomScaleNormal="85" workbookViewId="0">
      <selection activeCell="I9" sqref="I9"/>
    </sheetView>
  </sheetViews>
  <sheetFormatPr defaultRowHeight="15" x14ac:dyDescent="0.25"/>
  <cols>
    <col min="1" max="1" width="4.140625" style="8" bestFit="1" customWidth="1"/>
    <col min="2" max="2" width="10.28515625" bestFit="1" customWidth="1"/>
    <col min="3" max="3" width="37.7109375" bestFit="1" customWidth="1"/>
    <col min="4" max="4" width="25.85546875" bestFit="1" customWidth="1"/>
    <col min="6" max="6" width="15.85546875" style="12" customWidth="1"/>
  </cols>
  <sheetData>
    <row r="2" spans="1:6" x14ac:dyDescent="0.25">
      <c r="A2" s="16" t="s">
        <v>0</v>
      </c>
      <c r="B2" s="16" t="s">
        <v>1</v>
      </c>
      <c r="C2" s="25" t="s">
        <v>2</v>
      </c>
      <c r="D2" s="16" t="s">
        <v>27</v>
      </c>
      <c r="E2" s="16" t="s">
        <v>12</v>
      </c>
      <c r="F2" s="17" t="s">
        <v>11</v>
      </c>
    </row>
    <row r="3" spans="1:6" x14ac:dyDescent="0.25">
      <c r="A3" s="16">
        <v>1</v>
      </c>
      <c r="B3" s="18">
        <v>202200552</v>
      </c>
      <c r="C3" s="26" t="s">
        <v>161</v>
      </c>
      <c r="D3" s="18" t="s">
        <v>4</v>
      </c>
      <c r="E3" s="6" t="s">
        <v>8</v>
      </c>
      <c r="F3" s="15" t="s">
        <v>175</v>
      </c>
    </row>
    <row r="4" spans="1:6" x14ac:dyDescent="0.25">
      <c r="A4" s="16">
        <v>2</v>
      </c>
      <c r="B4" s="18">
        <v>202200550</v>
      </c>
      <c r="C4" s="26" t="s">
        <v>162</v>
      </c>
      <c r="D4" s="18" t="s">
        <v>4</v>
      </c>
      <c r="E4" s="6" t="s">
        <v>8</v>
      </c>
      <c r="F4" s="15" t="s">
        <v>176</v>
      </c>
    </row>
    <row r="5" spans="1:6" x14ac:dyDescent="0.25">
      <c r="A5" s="16">
        <v>3</v>
      </c>
      <c r="B5" s="18">
        <v>202200549</v>
      </c>
      <c r="C5" s="26" t="s">
        <v>163</v>
      </c>
      <c r="D5" s="18" t="s">
        <v>4</v>
      </c>
      <c r="E5" s="5" t="s">
        <v>9</v>
      </c>
      <c r="F5" s="15" t="s">
        <v>177</v>
      </c>
    </row>
    <row r="6" spans="1:6" x14ac:dyDescent="0.25">
      <c r="A6" s="16">
        <v>4</v>
      </c>
      <c r="B6" s="18">
        <v>202200548</v>
      </c>
      <c r="C6" s="26" t="s">
        <v>164</v>
      </c>
      <c r="D6" s="18" t="s">
        <v>4</v>
      </c>
      <c r="E6" s="5" t="s">
        <v>9</v>
      </c>
      <c r="F6" s="15" t="s">
        <v>178</v>
      </c>
    </row>
    <row r="7" spans="1:6" x14ac:dyDescent="0.25">
      <c r="A7" s="16">
        <v>5</v>
      </c>
      <c r="B7" s="18">
        <v>202200545</v>
      </c>
      <c r="C7" s="26" t="s">
        <v>165</v>
      </c>
      <c r="D7" s="18" t="s">
        <v>4</v>
      </c>
      <c r="E7" s="6" t="s">
        <v>8</v>
      </c>
      <c r="F7" s="15" t="s">
        <v>179</v>
      </c>
    </row>
    <row r="8" spans="1:6" x14ac:dyDescent="0.25">
      <c r="A8" s="16">
        <v>6</v>
      </c>
      <c r="B8" s="18">
        <v>202200541</v>
      </c>
      <c r="C8" s="26" t="s">
        <v>166</v>
      </c>
      <c r="D8" s="18" t="s">
        <v>4</v>
      </c>
      <c r="E8" s="5" t="s">
        <v>9</v>
      </c>
      <c r="F8" s="15" t="s">
        <v>180</v>
      </c>
    </row>
    <row r="9" spans="1:6" x14ac:dyDescent="0.25">
      <c r="A9" s="16">
        <v>7</v>
      </c>
      <c r="B9" s="18">
        <v>202200537</v>
      </c>
      <c r="C9" s="26" t="s">
        <v>167</v>
      </c>
      <c r="D9" s="18" t="s">
        <v>4</v>
      </c>
      <c r="E9" s="5" t="s">
        <v>9</v>
      </c>
      <c r="F9" s="15" t="s">
        <v>181</v>
      </c>
    </row>
    <row r="10" spans="1:6" x14ac:dyDescent="0.25">
      <c r="A10" s="16">
        <v>8</v>
      </c>
      <c r="B10" s="18">
        <v>202200532</v>
      </c>
      <c r="C10" s="26" t="s">
        <v>168</v>
      </c>
      <c r="D10" s="18" t="s">
        <v>4</v>
      </c>
      <c r="E10" s="5" t="s">
        <v>9</v>
      </c>
      <c r="F10" s="15" t="s">
        <v>182</v>
      </c>
    </row>
    <row r="11" spans="1:6" x14ac:dyDescent="0.25">
      <c r="A11" s="16">
        <v>9</v>
      </c>
      <c r="B11" s="18">
        <v>202200528</v>
      </c>
      <c r="C11" s="26" t="s">
        <v>169</v>
      </c>
      <c r="D11" s="18" t="s">
        <v>4</v>
      </c>
      <c r="E11" s="6" t="s">
        <v>8</v>
      </c>
      <c r="F11" s="15" t="s">
        <v>183</v>
      </c>
    </row>
    <row r="12" spans="1:6" x14ac:dyDescent="0.25">
      <c r="A12" s="16">
        <v>10</v>
      </c>
      <c r="B12" s="18">
        <v>202200527</v>
      </c>
      <c r="C12" s="26" t="s">
        <v>170</v>
      </c>
      <c r="D12" s="18" t="s">
        <v>4</v>
      </c>
      <c r="E12" s="6" t="s">
        <v>8</v>
      </c>
      <c r="F12" s="15" t="s">
        <v>184</v>
      </c>
    </row>
    <row r="13" spans="1:6" x14ac:dyDescent="0.25">
      <c r="A13" s="16">
        <v>11</v>
      </c>
      <c r="B13" s="18">
        <v>202200526</v>
      </c>
      <c r="C13" s="26" t="s">
        <v>171</v>
      </c>
      <c r="D13" s="18" t="s">
        <v>4</v>
      </c>
      <c r="E13" s="5" t="s">
        <v>9</v>
      </c>
      <c r="F13" s="15" t="s">
        <v>185</v>
      </c>
    </row>
    <row r="14" spans="1:6" x14ac:dyDescent="0.25">
      <c r="A14" s="16">
        <v>12</v>
      </c>
      <c r="B14" s="18">
        <v>202200525</v>
      </c>
      <c r="C14" s="26" t="s">
        <v>172</v>
      </c>
      <c r="D14" s="18" t="s">
        <v>4</v>
      </c>
      <c r="E14" s="5" t="s">
        <v>9</v>
      </c>
      <c r="F14" s="15" t="s">
        <v>186</v>
      </c>
    </row>
    <row r="15" spans="1:6" x14ac:dyDescent="0.25">
      <c r="A15" s="16">
        <v>13</v>
      </c>
      <c r="B15" s="18">
        <v>202200524</v>
      </c>
      <c r="C15" s="26" t="s">
        <v>173</v>
      </c>
      <c r="D15" s="18" t="s">
        <v>4</v>
      </c>
      <c r="E15" s="6" t="s">
        <v>8</v>
      </c>
      <c r="F15" s="15" t="s">
        <v>186</v>
      </c>
    </row>
    <row r="16" spans="1:6" x14ac:dyDescent="0.25">
      <c r="A16" s="16">
        <v>14</v>
      </c>
      <c r="B16" s="18">
        <v>202200520</v>
      </c>
      <c r="C16" s="26" t="s">
        <v>174</v>
      </c>
      <c r="D16" s="18" t="s">
        <v>4</v>
      </c>
      <c r="E16" s="5" t="s">
        <v>9</v>
      </c>
      <c r="F16" s="15" t="s">
        <v>187</v>
      </c>
    </row>
    <row r="17" spans="1:6" x14ac:dyDescent="0.25">
      <c r="A17" s="16">
        <v>15</v>
      </c>
      <c r="B17" s="4">
        <v>202200516</v>
      </c>
      <c r="C17" s="24" t="s">
        <v>48</v>
      </c>
      <c r="D17" s="4" t="s">
        <v>4</v>
      </c>
      <c r="E17" s="6" t="s">
        <v>8</v>
      </c>
      <c r="F17" s="13" t="s">
        <v>91</v>
      </c>
    </row>
    <row r="18" spans="1:6" x14ac:dyDescent="0.25">
      <c r="A18" s="16">
        <v>16</v>
      </c>
      <c r="B18" s="4">
        <v>202200511</v>
      </c>
      <c r="C18" s="4" t="s">
        <v>49</v>
      </c>
      <c r="D18" s="4" t="s">
        <v>4</v>
      </c>
      <c r="E18" s="6" t="s">
        <v>8</v>
      </c>
      <c r="F18" s="13" t="s">
        <v>92</v>
      </c>
    </row>
    <row r="19" spans="1:6" x14ac:dyDescent="0.25">
      <c r="A19" s="16">
        <v>17</v>
      </c>
      <c r="B19" s="4">
        <v>202200505</v>
      </c>
      <c r="C19" s="4" t="s">
        <v>50</v>
      </c>
      <c r="D19" s="4" t="s">
        <v>4</v>
      </c>
      <c r="E19" s="6" t="s">
        <v>8</v>
      </c>
      <c r="F19" s="13" t="s">
        <v>93</v>
      </c>
    </row>
    <row r="20" spans="1:6" x14ac:dyDescent="0.25">
      <c r="A20" s="16">
        <v>18</v>
      </c>
      <c r="B20" s="4">
        <v>202200501</v>
      </c>
      <c r="C20" s="4" t="s">
        <v>51</v>
      </c>
      <c r="D20" s="4" t="s">
        <v>4</v>
      </c>
      <c r="E20" s="6" t="s">
        <v>8</v>
      </c>
      <c r="F20" s="13" t="s">
        <v>94</v>
      </c>
    </row>
    <row r="21" spans="1:6" x14ac:dyDescent="0.25">
      <c r="A21" s="16">
        <v>19</v>
      </c>
      <c r="B21" s="4">
        <v>202200498</v>
      </c>
      <c r="C21" s="4" t="s">
        <v>52</v>
      </c>
      <c r="D21" s="4" t="s">
        <v>4</v>
      </c>
      <c r="E21" s="5" t="s">
        <v>9</v>
      </c>
      <c r="F21" s="13" t="s">
        <v>95</v>
      </c>
    </row>
    <row r="22" spans="1:6" x14ac:dyDescent="0.25">
      <c r="A22" s="16">
        <v>20</v>
      </c>
      <c r="B22" s="4">
        <v>202200494</v>
      </c>
      <c r="C22" s="4" t="s">
        <v>53</v>
      </c>
      <c r="D22" s="4" t="s">
        <v>4</v>
      </c>
      <c r="E22" s="6" t="s">
        <v>8</v>
      </c>
      <c r="F22" s="13" t="s">
        <v>96</v>
      </c>
    </row>
    <row r="23" spans="1:6" x14ac:dyDescent="0.25">
      <c r="A23" s="16">
        <v>21</v>
      </c>
      <c r="B23" s="4">
        <v>202200493</v>
      </c>
      <c r="C23" s="4" t="s">
        <v>54</v>
      </c>
      <c r="D23" s="4" t="s">
        <v>4</v>
      </c>
      <c r="E23" s="6" t="s">
        <v>8</v>
      </c>
      <c r="F23" s="13" t="s">
        <v>97</v>
      </c>
    </row>
    <row r="24" spans="1:6" x14ac:dyDescent="0.25">
      <c r="A24" s="16">
        <v>22</v>
      </c>
      <c r="B24" s="4">
        <v>202200492</v>
      </c>
      <c r="C24" s="4" t="s">
        <v>55</v>
      </c>
      <c r="D24" s="4" t="s">
        <v>4</v>
      </c>
      <c r="E24" s="6" t="s">
        <v>8</v>
      </c>
      <c r="F24" s="13" t="s">
        <v>98</v>
      </c>
    </row>
    <row r="25" spans="1:6" x14ac:dyDescent="0.25">
      <c r="A25" s="16">
        <v>23</v>
      </c>
      <c r="B25" s="4">
        <v>202200490</v>
      </c>
      <c r="C25" s="4" t="s">
        <v>56</v>
      </c>
      <c r="D25" s="4" t="s">
        <v>4</v>
      </c>
      <c r="E25" s="6" t="s">
        <v>8</v>
      </c>
      <c r="F25" s="13" t="s">
        <v>99</v>
      </c>
    </row>
    <row r="26" spans="1:6" x14ac:dyDescent="0.25">
      <c r="A26" s="16">
        <v>24</v>
      </c>
      <c r="B26" s="4">
        <v>202200489</v>
      </c>
      <c r="C26" s="4" t="s">
        <v>57</v>
      </c>
      <c r="D26" s="4" t="s">
        <v>4</v>
      </c>
      <c r="E26" s="5" t="s">
        <v>9</v>
      </c>
      <c r="F26" s="13" t="s">
        <v>100</v>
      </c>
    </row>
    <row r="27" spans="1:6" x14ac:dyDescent="0.25">
      <c r="A27" s="16">
        <v>25</v>
      </c>
      <c r="B27" s="4">
        <v>202200484</v>
      </c>
      <c r="C27" s="4" t="s">
        <v>58</v>
      </c>
      <c r="D27" s="4" t="s">
        <v>4</v>
      </c>
      <c r="E27" s="6" t="s">
        <v>8</v>
      </c>
      <c r="F27" s="13" t="s">
        <v>101</v>
      </c>
    </row>
    <row r="28" spans="1:6" x14ac:dyDescent="0.25">
      <c r="A28" s="16">
        <v>26</v>
      </c>
      <c r="B28" s="4">
        <v>202200483</v>
      </c>
      <c r="C28" s="4" t="s">
        <v>59</v>
      </c>
      <c r="D28" s="4" t="s">
        <v>4</v>
      </c>
      <c r="E28" s="6" t="s">
        <v>8</v>
      </c>
      <c r="F28" s="13" t="s">
        <v>102</v>
      </c>
    </row>
    <row r="29" spans="1:6" x14ac:dyDescent="0.25">
      <c r="A29" s="16">
        <v>27</v>
      </c>
      <c r="B29" s="4">
        <v>202200479</v>
      </c>
      <c r="C29" s="4" t="s">
        <v>60</v>
      </c>
      <c r="D29" s="4" t="s">
        <v>4</v>
      </c>
      <c r="E29" s="6" t="s">
        <v>8</v>
      </c>
      <c r="F29" s="13" t="s">
        <v>103</v>
      </c>
    </row>
    <row r="30" spans="1:6" x14ac:dyDescent="0.25">
      <c r="A30" s="16">
        <v>28</v>
      </c>
      <c r="B30" s="4">
        <v>202200469</v>
      </c>
      <c r="C30" s="4" t="s">
        <v>61</v>
      </c>
      <c r="D30" s="4" t="s">
        <v>4</v>
      </c>
      <c r="E30" s="6" t="s">
        <v>8</v>
      </c>
      <c r="F30" s="13" t="s">
        <v>104</v>
      </c>
    </row>
    <row r="31" spans="1:6" x14ac:dyDescent="0.25">
      <c r="A31" s="16">
        <v>29</v>
      </c>
      <c r="B31" s="4">
        <v>202200466</v>
      </c>
      <c r="C31" s="4" t="s">
        <v>62</v>
      </c>
      <c r="D31" s="4" t="s">
        <v>4</v>
      </c>
      <c r="E31" s="6" t="s">
        <v>8</v>
      </c>
      <c r="F31" s="13" t="s">
        <v>105</v>
      </c>
    </row>
    <row r="32" spans="1:6" x14ac:dyDescent="0.25">
      <c r="A32" s="16">
        <v>30</v>
      </c>
      <c r="B32" s="4">
        <v>202200463</v>
      </c>
      <c r="C32" s="4" t="s">
        <v>63</v>
      </c>
      <c r="D32" s="4" t="s">
        <v>4</v>
      </c>
      <c r="E32" s="5" t="s">
        <v>9</v>
      </c>
      <c r="F32" s="13" t="s">
        <v>26</v>
      </c>
    </row>
    <row r="33" spans="1:6" x14ac:dyDescent="0.25">
      <c r="A33" s="16">
        <v>31</v>
      </c>
      <c r="B33" s="4">
        <v>202200460</v>
      </c>
      <c r="C33" s="4" t="s">
        <v>64</v>
      </c>
      <c r="D33" s="4" t="s">
        <v>4</v>
      </c>
      <c r="E33" s="6" t="s">
        <v>8</v>
      </c>
      <c r="F33" s="13" t="s">
        <v>106</v>
      </c>
    </row>
    <row r="34" spans="1:6" x14ac:dyDescent="0.25">
      <c r="A34" s="16">
        <v>32</v>
      </c>
      <c r="B34" s="4">
        <v>202200457</v>
      </c>
      <c r="C34" s="4" t="s">
        <v>65</v>
      </c>
      <c r="D34" s="4" t="s">
        <v>4</v>
      </c>
      <c r="E34" s="6" t="s">
        <v>8</v>
      </c>
      <c r="F34" s="13" t="s">
        <v>107</v>
      </c>
    </row>
    <row r="35" spans="1:6" x14ac:dyDescent="0.25">
      <c r="A35" s="16">
        <v>33</v>
      </c>
      <c r="B35" s="4">
        <v>202200453</v>
      </c>
      <c r="C35" s="4" t="s">
        <v>66</v>
      </c>
      <c r="D35" s="4" t="s">
        <v>4</v>
      </c>
      <c r="E35" s="5" t="s">
        <v>9</v>
      </c>
      <c r="F35" s="13" t="s">
        <v>108</v>
      </c>
    </row>
    <row r="36" spans="1:6" x14ac:dyDescent="0.25">
      <c r="A36" s="16">
        <v>34</v>
      </c>
      <c r="B36" s="4">
        <v>202200452</v>
      </c>
      <c r="C36" s="4" t="s">
        <v>67</v>
      </c>
      <c r="D36" s="4" t="s">
        <v>4</v>
      </c>
      <c r="E36" s="6" t="s">
        <v>8</v>
      </c>
      <c r="F36" s="13" t="s">
        <v>109</v>
      </c>
    </row>
    <row r="37" spans="1:6" x14ac:dyDescent="0.25">
      <c r="A37" s="16">
        <v>35</v>
      </c>
      <c r="B37" s="4">
        <v>202200447</v>
      </c>
      <c r="C37" s="4" t="s">
        <v>68</v>
      </c>
      <c r="D37" s="4" t="s">
        <v>4</v>
      </c>
      <c r="E37" s="5" t="s">
        <v>9</v>
      </c>
      <c r="F37" s="13" t="s">
        <v>110</v>
      </c>
    </row>
    <row r="43" spans="1:6" x14ac:dyDescent="0.25">
      <c r="A43" s="8">
        <v>1</v>
      </c>
      <c r="B43">
        <v>202200552</v>
      </c>
      <c r="C43" t="s">
        <v>161</v>
      </c>
      <c r="D43" t="s">
        <v>4</v>
      </c>
      <c r="F43" s="12" t="s">
        <v>139</v>
      </c>
    </row>
    <row r="44" spans="1:6" x14ac:dyDescent="0.25">
      <c r="A44" s="8">
        <v>2</v>
      </c>
      <c r="B44">
        <v>202200550</v>
      </c>
      <c r="C44" t="s">
        <v>162</v>
      </c>
      <c r="D44" t="s">
        <v>4</v>
      </c>
      <c r="F44" s="12" t="s">
        <v>139</v>
      </c>
    </row>
    <row r="45" spans="1:6" x14ac:dyDescent="0.25">
      <c r="A45" s="8">
        <v>3</v>
      </c>
      <c r="B45">
        <v>202200549</v>
      </c>
      <c r="C45" t="s">
        <v>163</v>
      </c>
      <c r="D45" t="s">
        <v>4</v>
      </c>
      <c r="E45" t="s">
        <v>148</v>
      </c>
    </row>
    <row r="46" spans="1:6" x14ac:dyDescent="0.25">
      <c r="A46" s="8">
        <v>4</v>
      </c>
      <c r="B46">
        <v>202200548</v>
      </c>
      <c r="C46" t="s">
        <v>164</v>
      </c>
      <c r="D46" t="s">
        <v>4</v>
      </c>
      <c r="E46" t="s">
        <v>148</v>
      </c>
    </row>
    <row r="47" spans="1:6" x14ac:dyDescent="0.25">
      <c r="A47" s="8">
        <v>5</v>
      </c>
      <c r="B47">
        <v>202200545</v>
      </c>
      <c r="C47" t="s">
        <v>165</v>
      </c>
      <c r="D47" t="s">
        <v>4</v>
      </c>
      <c r="F47" s="12" t="s">
        <v>139</v>
      </c>
    </row>
    <row r="48" spans="1:6" x14ac:dyDescent="0.25">
      <c r="A48" s="8">
        <v>6</v>
      </c>
      <c r="B48">
        <v>202200541</v>
      </c>
      <c r="C48" t="s">
        <v>166</v>
      </c>
      <c r="D48" t="s">
        <v>4</v>
      </c>
      <c r="E48" t="s">
        <v>148</v>
      </c>
    </row>
    <row r="49" spans="1:6" x14ac:dyDescent="0.25">
      <c r="A49" s="8">
        <v>7</v>
      </c>
      <c r="B49">
        <v>202200537</v>
      </c>
      <c r="C49" t="s">
        <v>167</v>
      </c>
      <c r="D49" t="s">
        <v>4</v>
      </c>
      <c r="E49" t="s">
        <v>148</v>
      </c>
    </row>
    <row r="50" spans="1:6" x14ac:dyDescent="0.25">
      <c r="A50" s="8">
        <v>8</v>
      </c>
      <c r="B50">
        <v>202200532</v>
      </c>
      <c r="C50" t="s">
        <v>168</v>
      </c>
      <c r="D50" t="s">
        <v>4</v>
      </c>
      <c r="E50" t="s">
        <v>139</v>
      </c>
    </row>
    <row r="51" spans="1:6" x14ac:dyDescent="0.25">
      <c r="A51" s="8">
        <v>9</v>
      </c>
      <c r="B51">
        <v>202200528</v>
      </c>
      <c r="C51" t="s">
        <v>169</v>
      </c>
      <c r="D51" t="s">
        <v>4</v>
      </c>
      <c r="F51" s="12" t="s">
        <v>139</v>
      </c>
    </row>
    <row r="52" spans="1:6" x14ac:dyDescent="0.25">
      <c r="A52" s="8">
        <v>10</v>
      </c>
      <c r="B52">
        <v>202200527</v>
      </c>
      <c r="C52" t="s">
        <v>170</v>
      </c>
      <c r="D52" t="s">
        <v>4</v>
      </c>
      <c r="F52" s="12" t="s">
        <v>139</v>
      </c>
    </row>
    <row r="53" spans="1:6" x14ac:dyDescent="0.25">
      <c r="A53" s="8">
        <v>11</v>
      </c>
      <c r="B53">
        <v>202200526</v>
      </c>
      <c r="C53" t="s">
        <v>171</v>
      </c>
      <c r="D53" t="s">
        <v>4</v>
      </c>
      <c r="E53" t="s">
        <v>148</v>
      </c>
    </row>
    <row r="54" spans="1:6" x14ac:dyDescent="0.25">
      <c r="A54" s="8">
        <v>12</v>
      </c>
      <c r="B54">
        <v>202200525</v>
      </c>
      <c r="C54" t="s">
        <v>172</v>
      </c>
      <c r="D54" t="s">
        <v>4</v>
      </c>
      <c r="E54" t="s">
        <v>148</v>
      </c>
    </row>
    <row r="55" spans="1:6" x14ac:dyDescent="0.25">
      <c r="A55" s="8">
        <v>13</v>
      </c>
      <c r="B55">
        <v>202200524</v>
      </c>
      <c r="C55" t="s">
        <v>173</v>
      </c>
      <c r="D55" t="s">
        <v>4</v>
      </c>
      <c r="F55" s="12" t="s">
        <v>139</v>
      </c>
    </row>
    <row r="56" spans="1:6" x14ac:dyDescent="0.25">
      <c r="A56" s="8">
        <v>14</v>
      </c>
      <c r="B56">
        <v>202200523</v>
      </c>
      <c r="C56" t="s">
        <v>166</v>
      </c>
      <c r="D56" t="s">
        <v>4</v>
      </c>
      <c r="F56" s="12" t="s">
        <v>139</v>
      </c>
    </row>
    <row r="57" spans="1:6" x14ac:dyDescent="0.25">
      <c r="A57" s="8">
        <v>15</v>
      </c>
      <c r="B57">
        <v>202200520</v>
      </c>
      <c r="C57" t="s">
        <v>174</v>
      </c>
      <c r="D57" t="s">
        <v>4</v>
      </c>
      <c r="E57" t="s">
        <v>148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opLeftCell="A4" workbookViewId="0">
      <selection activeCell="G23" sqref="G23"/>
    </sheetView>
  </sheetViews>
  <sheetFormatPr defaultRowHeight="15" x14ac:dyDescent="0.25"/>
  <cols>
    <col min="1" max="1" width="4.140625" style="30" bestFit="1" customWidth="1"/>
    <col min="2" max="2" width="10" style="29" bestFit="1" customWidth="1"/>
    <col min="3" max="3" width="30.85546875" style="29" bestFit="1" customWidth="1"/>
    <col min="4" max="4" width="33.140625" style="29" bestFit="1" customWidth="1"/>
    <col min="5" max="5" width="6.42578125" style="29" bestFit="1" customWidth="1"/>
    <col min="6" max="6" width="14.5703125" style="14" customWidth="1"/>
    <col min="7" max="16384" width="9.140625" style="29"/>
  </cols>
  <sheetData>
    <row r="2" spans="1:6" x14ac:dyDescent="0.25">
      <c r="A2" s="18" t="s">
        <v>0</v>
      </c>
      <c r="B2" s="18" t="s">
        <v>1</v>
      </c>
      <c r="C2" s="18" t="s">
        <v>2</v>
      </c>
      <c r="D2" s="18" t="s">
        <v>27</v>
      </c>
      <c r="E2" s="18" t="s">
        <v>12</v>
      </c>
      <c r="F2" s="15" t="s">
        <v>11</v>
      </c>
    </row>
    <row r="3" spans="1:6" x14ac:dyDescent="0.25">
      <c r="A3" s="18">
        <v>1</v>
      </c>
      <c r="B3" s="19">
        <v>202200553</v>
      </c>
      <c r="C3" s="19" t="s">
        <v>75</v>
      </c>
      <c r="D3" s="19" t="s">
        <v>5</v>
      </c>
      <c r="E3" s="27" t="s">
        <v>198</v>
      </c>
      <c r="F3" s="15" t="s">
        <v>89</v>
      </c>
    </row>
    <row r="4" spans="1:6" x14ac:dyDescent="0.25">
      <c r="A4" s="18">
        <v>2</v>
      </c>
      <c r="B4" s="19">
        <v>202200551</v>
      </c>
      <c r="C4" s="19" t="s">
        <v>188</v>
      </c>
      <c r="D4" s="19" t="s">
        <v>5</v>
      </c>
      <c r="E4" s="28" t="s">
        <v>8</v>
      </c>
      <c r="F4" s="15" t="s">
        <v>193</v>
      </c>
    </row>
    <row r="5" spans="1:6" x14ac:dyDescent="0.25">
      <c r="A5" s="18">
        <v>3</v>
      </c>
      <c r="B5" s="19">
        <v>202200547</v>
      </c>
      <c r="C5" s="19" t="s">
        <v>189</v>
      </c>
      <c r="D5" s="19" t="s">
        <v>5</v>
      </c>
      <c r="E5" s="28" t="s">
        <v>8</v>
      </c>
      <c r="F5" s="15" t="s">
        <v>194</v>
      </c>
    </row>
    <row r="6" spans="1:6" x14ac:dyDescent="0.25">
      <c r="A6" s="18">
        <v>4</v>
      </c>
      <c r="B6" s="19">
        <v>202200543</v>
      </c>
      <c r="C6" s="19" t="s">
        <v>190</v>
      </c>
      <c r="D6" s="19" t="s">
        <v>5</v>
      </c>
      <c r="E6" s="27" t="s">
        <v>198</v>
      </c>
      <c r="F6" s="15" t="s">
        <v>195</v>
      </c>
    </row>
    <row r="7" spans="1:6" x14ac:dyDescent="0.25">
      <c r="A7" s="18">
        <v>5</v>
      </c>
      <c r="B7" s="19">
        <v>202200539</v>
      </c>
      <c r="C7" s="19" t="s">
        <v>191</v>
      </c>
      <c r="D7" s="19" t="s">
        <v>5</v>
      </c>
      <c r="E7" s="27" t="s">
        <v>198</v>
      </c>
      <c r="F7" s="15" t="s">
        <v>196</v>
      </c>
    </row>
    <row r="8" spans="1:6" x14ac:dyDescent="0.25">
      <c r="A8" s="18">
        <v>6</v>
      </c>
      <c r="B8" s="19">
        <v>202200536</v>
      </c>
      <c r="C8" s="19" t="s">
        <v>192</v>
      </c>
      <c r="D8" s="19" t="s">
        <v>5</v>
      </c>
      <c r="E8" s="28" t="s">
        <v>8</v>
      </c>
      <c r="F8" s="15" t="s">
        <v>197</v>
      </c>
    </row>
    <row r="9" spans="1:6" x14ac:dyDescent="0.25">
      <c r="A9" s="18">
        <v>7</v>
      </c>
      <c r="B9" s="19">
        <v>202200513</v>
      </c>
      <c r="C9" s="31" t="s">
        <v>69</v>
      </c>
      <c r="D9" s="19" t="s">
        <v>5</v>
      </c>
      <c r="E9" s="28" t="s">
        <v>8</v>
      </c>
      <c r="F9" s="15" t="s">
        <v>84</v>
      </c>
    </row>
    <row r="10" spans="1:6" x14ac:dyDescent="0.25">
      <c r="A10" s="18">
        <v>8</v>
      </c>
      <c r="B10" s="19">
        <v>202200510</v>
      </c>
      <c r="C10" s="19" t="s">
        <v>70</v>
      </c>
      <c r="D10" s="19" t="s">
        <v>5</v>
      </c>
      <c r="E10" s="28" t="s">
        <v>8</v>
      </c>
      <c r="F10" s="15" t="s">
        <v>85</v>
      </c>
    </row>
    <row r="11" spans="1:6" x14ac:dyDescent="0.25">
      <c r="A11" s="18">
        <v>9</v>
      </c>
      <c r="B11" s="19">
        <v>202200508</v>
      </c>
      <c r="C11" s="19" t="s">
        <v>71</v>
      </c>
      <c r="D11" s="19" t="s">
        <v>5</v>
      </c>
      <c r="E11" s="28" t="s">
        <v>8</v>
      </c>
      <c r="F11" s="15" t="s">
        <v>83</v>
      </c>
    </row>
    <row r="12" spans="1:6" x14ac:dyDescent="0.25">
      <c r="A12" s="18">
        <v>10</v>
      </c>
      <c r="B12" s="19">
        <v>202200504</v>
      </c>
      <c r="C12" s="19" t="s">
        <v>72</v>
      </c>
      <c r="D12" s="19" t="s">
        <v>5</v>
      </c>
      <c r="E12" s="27" t="s">
        <v>198</v>
      </c>
      <c r="F12" s="15" t="s">
        <v>86</v>
      </c>
    </row>
    <row r="13" spans="1:6" x14ac:dyDescent="0.25">
      <c r="A13" s="18">
        <v>11</v>
      </c>
      <c r="B13" s="19">
        <v>202200503</v>
      </c>
      <c r="C13" s="19" t="s">
        <v>73</v>
      </c>
      <c r="D13" s="19" t="s">
        <v>5</v>
      </c>
      <c r="E13" s="27" t="s">
        <v>198</v>
      </c>
      <c r="F13" s="15" t="s">
        <v>87</v>
      </c>
    </row>
    <row r="14" spans="1:6" x14ac:dyDescent="0.25">
      <c r="A14" s="18">
        <v>12</v>
      </c>
      <c r="B14" s="19">
        <v>202200500</v>
      </c>
      <c r="C14" s="19" t="s">
        <v>74</v>
      </c>
      <c r="D14" s="19" t="s">
        <v>5</v>
      </c>
      <c r="E14" s="28" t="s">
        <v>8</v>
      </c>
      <c r="F14" s="15" t="s">
        <v>88</v>
      </c>
    </row>
    <row r="15" spans="1:6" x14ac:dyDescent="0.25">
      <c r="A15" s="18">
        <v>13</v>
      </c>
      <c r="B15" s="19">
        <v>202200497</v>
      </c>
      <c r="C15" s="19" t="s">
        <v>75</v>
      </c>
      <c r="D15" s="19" t="s">
        <v>5</v>
      </c>
      <c r="E15" s="28" t="s">
        <v>8</v>
      </c>
      <c r="F15" s="15" t="s">
        <v>89</v>
      </c>
    </row>
    <row r="16" spans="1:6" x14ac:dyDescent="0.25">
      <c r="A16" s="18">
        <v>14</v>
      </c>
      <c r="B16" s="19">
        <v>202200482</v>
      </c>
      <c r="C16" s="19" t="s">
        <v>76</v>
      </c>
      <c r="D16" s="19" t="s">
        <v>5</v>
      </c>
      <c r="E16" s="27" t="s">
        <v>198</v>
      </c>
      <c r="F16" s="15" t="s">
        <v>90</v>
      </c>
    </row>
    <row r="17" spans="1:6" x14ac:dyDescent="0.25">
      <c r="A17" s="18">
        <v>15</v>
      </c>
      <c r="B17" s="19">
        <v>202200461</v>
      </c>
      <c r="C17" s="19" t="s">
        <v>19</v>
      </c>
      <c r="D17" s="19" t="s">
        <v>5</v>
      </c>
      <c r="E17" s="27" t="s">
        <v>198</v>
      </c>
      <c r="F17" s="1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opLeftCell="C4" workbookViewId="0">
      <selection activeCell="N22" sqref="N22:N23"/>
    </sheetView>
  </sheetViews>
  <sheetFormatPr defaultRowHeight="15" x14ac:dyDescent="0.25"/>
  <cols>
    <col min="1" max="1" width="4.140625" style="8" bestFit="1" customWidth="1"/>
    <col min="2" max="2" width="8.85546875" style="8" customWidth="1"/>
    <col min="3" max="3" width="34.42578125" bestFit="1" customWidth="1"/>
    <col min="4" max="4" width="9.140625" style="8"/>
    <col min="5" max="5" width="10.28515625" style="8" customWidth="1"/>
    <col min="6" max="6" width="14" style="8" bestFit="1" customWidth="1"/>
    <col min="7" max="7" width="13.85546875" style="8" bestFit="1" customWidth="1"/>
    <col min="8" max="10" width="11.28515625" bestFit="1" customWidth="1"/>
  </cols>
  <sheetData>
    <row r="2" spans="1:7" x14ac:dyDescent="0.25">
      <c r="C2" s="20" t="s">
        <v>136</v>
      </c>
    </row>
    <row r="3" spans="1:7" x14ac:dyDescent="0.25">
      <c r="A3" s="3" t="s">
        <v>0</v>
      </c>
      <c r="B3" s="3" t="s">
        <v>13</v>
      </c>
      <c r="C3" s="3" t="s">
        <v>16</v>
      </c>
      <c r="D3" s="3" t="s">
        <v>14</v>
      </c>
      <c r="E3" s="7" t="s">
        <v>15</v>
      </c>
      <c r="F3" s="9" t="s">
        <v>18</v>
      </c>
      <c r="G3" s="10" t="s">
        <v>17</v>
      </c>
    </row>
    <row r="4" spans="1:7" x14ac:dyDescent="0.25">
      <c r="A4" s="3">
        <v>1</v>
      </c>
      <c r="B4" s="3">
        <v>202101</v>
      </c>
      <c r="C4" s="4" t="s">
        <v>6</v>
      </c>
      <c r="D4" s="3">
        <v>100</v>
      </c>
      <c r="E4" s="3">
        <v>70</v>
      </c>
      <c r="F4" s="3">
        <v>52</v>
      </c>
      <c r="G4" s="3">
        <f>E4-F4</f>
        <v>18</v>
      </c>
    </row>
    <row r="5" spans="1:7" x14ac:dyDescent="0.25">
      <c r="A5" s="3">
        <v>2</v>
      </c>
      <c r="B5" s="3">
        <v>202102</v>
      </c>
      <c r="C5" s="4" t="s">
        <v>7</v>
      </c>
      <c r="D5" s="3">
        <v>100</v>
      </c>
      <c r="E5" s="3">
        <v>29</v>
      </c>
      <c r="F5" s="3">
        <v>15</v>
      </c>
      <c r="G5" s="3">
        <f>E5-F5</f>
        <v>14</v>
      </c>
    </row>
    <row r="6" spans="1:7" x14ac:dyDescent="0.25">
      <c r="A6" s="3">
        <v>3</v>
      </c>
      <c r="B6" s="3">
        <v>202103</v>
      </c>
      <c r="C6" s="4" t="s">
        <v>4</v>
      </c>
      <c r="D6" s="3">
        <v>300</v>
      </c>
      <c r="E6" s="3">
        <v>72</v>
      </c>
      <c r="F6" s="3">
        <v>52</v>
      </c>
      <c r="G6" s="3">
        <f>E6-F6</f>
        <v>20</v>
      </c>
    </row>
    <row r="7" spans="1:7" x14ac:dyDescent="0.25">
      <c r="A7" s="3">
        <v>4</v>
      </c>
      <c r="B7" s="3">
        <v>202104</v>
      </c>
      <c r="C7" s="4" t="s">
        <v>5</v>
      </c>
      <c r="D7" s="3">
        <v>100</v>
      </c>
      <c r="E7" s="3">
        <v>21</v>
      </c>
      <c r="F7" s="3">
        <v>15</v>
      </c>
      <c r="G7" s="3">
        <f>E7-F7</f>
        <v>6</v>
      </c>
    </row>
    <row r="8" spans="1:7" x14ac:dyDescent="0.25">
      <c r="A8" s="3">
        <v>5</v>
      </c>
      <c r="B8" s="3">
        <v>202105</v>
      </c>
      <c r="C8" s="4" t="s">
        <v>3</v>
      </c>
      <c r="D8" s="3">
        <v>100</v>
      </c>
      <c r="E8" s="3">
        <v>33</v>
      </c>
      <c r="F8" s="3">
        <v>29</v>
      </c>
      <c r="G8" s="3">
        <f>E8-F8</f>
        <v>4</v>
      </c>
    </row>
    <row r="10" spans="1:7" x14ac:dyDescent="0.25">
      <c r="E10" s="3">
        <f>E4+E5+E6+E7+E8</f>
        <v>225</v>
      </c>
      <c r="F10" s="3">
        <f>F8+F7+F6+F5+F4</f>
        <v>163</v>
      </c>
      <c r="G10" s="3">
        <f>G8+G7+G6+G5+G4</f>
        <v>62</v>
      </c>
    </row>
    <row r="13" spans="1:7" x14ac:dyDescent="0.25">
      <c r="C13" s="21" t="s">
        <v>137</v>
      </c>
    </row>
    <row r="14" spans="1:7" x14ac:dyDescent="0.25">
      <c r="A14" s="3" t="s">
        <v>0</v>
      </c>
      <c r="B14" s="3" t="s">
        <v>13</v>
      </c>
      <c r="C14" s="3" t="s">
        <v>16</v>
      </c>
      <c r="D14" s="3" t="s">
        <v>14</v>
      </c>
      <c r="E14" s="7" t="s">
        <v>15</v>
      </c>
      <c r="F14" s="9" t="s">
        <v>18</v>
      </c>
      <c r="G14" s="10" t="s">
        <v>17</v>
      </c>
    </row>
    <row r="15" spans="1:7" x14ac:dyDescent="0.25">
      <c r="A15" s="3">
        <v>1</v>
      </c>
      <c r="B15" s="3">
        <v>202101</v>
      </c>
      <c r="C15" s="4" t="s">
        <v>6</v>
      </c>
      <c r="D15" s="3">
        <v>100</v>
      </c>
      <c r="E15" s="3">
        <v>22</v>
      </c>
      <c r="F15" s="3">
        <v>9</v>
      </c>
      <c r="G15" s="3">
        <f>E15-F15</f>
        <v>13</v>
      </c>
    </row>
    <row r="16" spans="1:7" x14ac:dyDescent="0.25">
      <c r="A16" s="3">
        <v>2</v>
      </c>
      <c r="B16" s="3">
        <v>202102</v>
      </c>
      <c r="C16" s="4" t="s">
        <v>7</v>
      </c>
      <c r="D16" s="3">
        <v>100</v>
      </c>
      <c r="E16" s="3">
        <v>10</v>
      </c>
      <c r="F16" s="3">
        <v>2</v>
      </c>
      <c r="G16" s="3">
        <f t="shared" ref="G16:G19" si="0">E16-F16</f>
        <v>8</v>
      </c>
    </row>
    <row r="17" spans="1:10" x14ac:dyDescent="0.25">
      <c r="A17" s="3">
        <v>3</v>
      </c>
      <c r="B17" s="3">
        <v>202103</v>
      </c>
      <c r="C17" s="4" t="s">
        <v>4</v>
      </c>
      <c r="D17" s="3">
        <v>300</v>
      </c>
      <c r="E17" s="3">
        <v>35</v>
      </c>
      <c r="F17" s="3">
        <v>14</v>
      </c>
      <c r="G17" s="3">
        <f t="shared" si="0"/>
        <v>21</v>
      </c>
    </row>
    <row r="18" spans="1:10" x14ac:dyDescent="0.25">
      <c r="A18" s="3">
        <v>4</v>
      </c>
      <c r="B18" s="3">
        <v>202104</v>
      </c>
      <c r="C18" s="4" t="s">
        <v>5</v>
      </c>
      <c r="D18" s="3">
        <v>100</v>
      </c>
      <c r="E18" s="3">
        <v>15</v>
      </c>
      <c r="F18" s="3">
        <v>7</v>
      </c>
      <c r="G18" s="3">
        <f t="shared" si="0"/>
        <v>8</v>
      </c>
    </row>
    <row r="19" spans="1:10" x14ac:dyDescent="0.25">
      <c r="A19" s="3">
        <v>5</v>
      </c>
      <c r="B19" s="3">
        <v>202105</v>
      </c>
      <c r="C19" s="4" t="s">
        <v>3</v>
      </c>
      <c r="D19" s="3">
        <v>100</v>
      </c>
      <c r="E19" s="3">
        <v>11</v>
      </c>
      <c r="F19" s="3">
        <v>5</v>
      </c>
      <c r="G19" s="3">
        <f t="shared" si="0"/>
        <v>6</v>
      </c>
    </row>
    <row r="21" spans="1:10" x14ac:dyDescent="0.25">
      <c r="E21" s="3">
        <f>E15+E16+E17+E18+E19</f>
        <v>93</v>
      </c>
      <c r="F21" s="3">
        <f>F19+F18+F17+F16+F15</f>
        <v>37</v>
      </c>
      <c r="G21" s="3">
        <f>G19+G18+G17+G16+G15</f>
        <v>56</v>
      </c>
    </row>
    <row r="24" spans="1:10" x14ac:dyDescent="0.25">
      <c r="C24" s="22" t="s">
        <v>138</v>
      </c>
    </row>
    <row r="25" spans="1:10" x14ac:dyDescent="0.25">
      <c r="A25" s="3" t="s">
        <v>0</v>
      </c>
      <c r="B25" s="3" t="s">
        <v>13</v>
      </c>
      <c r="C25" s="3" t="s">
        <v>16</v>
      </c>
      <c r="D25" s="3" t="s">
        <v>14</v>
      </c>
      <c r="E25" s="7" t="s">
        <v>15</v>
      </c>
      <c r="F25" s="9" t="s">
        <v>18</v>
      </c>
      <c r="G25" s="10" t="s">
        <v>17</v>
      </c>
      <c r="H25" s="23" t="s">
        <v>208</v>
      </c>
      <c r="I25" s="23" t="s">
        <v>209</v>
      </c>
      <c r="J25" s="23" t="s">
        <v>210</v>
      </c>
    </row>
    <row r="26" spans="1:10" x14ac:dyDescent="0.25">
      <c r="A26">
        <v>1</v>
      </c>
      <c r="B26">
        <v>202101</v>
      </c>
      <c r="C26" t="s">
        <v>6</v>
      </c>
      <c r="D26">
        <v>100</v>
      </c>
      <c r="E26">
        <v>90</v>
      </c>
      <c r="F26">
        <v>61</v>
      </c>
      <c r="G26">
        <f>E26-F26</f>
        <v>29</v>
      </c>
      <c r="H26">
        <v>35</v>
      </c>
    </row>
    <row r="27" spans="1:10" x14ac:dyDescent="0.25">
      <c r="A27">
        <v>2</v>
      </c>
      <c r="B27">
        <v>202102</v>
      </c>
      <c r="C27" t="s">
        <v>7</v>
      </c>
      <c r="D27">
        <v>100</v>
      </c>
      <c r="E27">
        <v>38</v>
      </c>
      <c r="F27">
        <v>19</v>
      </c>
      <c r="G27">
        <f t="shared" ref="G27:G30" si="1">E27-F27</f>
        <v>19</v>
      </c>
      <c r="H27">
        <v>15</v>
      </c>
    </row>
    <row r="28" spans="1:10" x14ac:dyDescent="0.25">
      <c r="A28">
        <v>3</v>
      </c>
      <c r="B28">
        <v>202103</v>
      </c>
      <c r="C28" t="s">
        <v>4</v>
      </c>
      <c r="D28">
        <v>300</v>
      </c>
      <c r="E28">
        <v>104</v>
      </c>
      <c r="F28">
        <v>71</v>
      </c>
      <c r="G28">
        <f t="shared" si="1"/>
        <v>33</v>
      </c>
      <c r="H28">
        <v>49</v>
      </c>
    </row>
    <row r="29" spans="1:10" x14ac:dyDescent="0.25">
      <c r="A29">
        <v>4</v>
      </c>
      <c r="B29">
        <v>202104</v>
      </c>
      <c r="C29" t="s">
        <v>5</v>
      </c>
      <c r="D29">
        <v>100</v>
      </c>
      <c r="E29">
        <v>33</v>
      </c>
      <c r="F29">
        <v>21</v>
      </c>
      <c r="G29">
        <f t="shared" si="1"/>
        <v>12</v>
      </c>
      <c r="H29">
        <v>12</v>
      </c>
    </row>
    <row r="30" spans="1:10" x14ac:dyDescent="0.25">
      <c r="A30">
        <v>5</v>
      </c>
      <c r="B30">
        <v>202105</v>
      </c>
      <c r="C30" t="s">
        <v>3</v>
      </c>
      <c r="D30">
        <v>100</v>
      </c>
      <c r="E30">
        <v>43</v>
      </c>
      <c r="F30">
        <v>35</v>
      </c>
      <c r="G30">
        <f t="shared" si="1"/>
        <v>8</v>
      </c>
      <c r="H30">
        <v>25</v>
      </c>
    </row>
    <row r="32" spans="1:10" x14ac:dyDescent="0.25">
      <c r="E32" s="3">
        <f>E30+E29+E28+E27+E26</f>
        <v>308</v>
      </c>
      <c r="F32" s="3">
        <f>F30+F29+F28+F27+F26</f>
        <v>207</v>
      </c>
      <c r="G32" s="3">
        <f>G30+G29+G28+G27+G26</f>
        <v>101</v>
      </c>
      <c r="H32" s="4">
        <f>H30+H29+H28+H27+H26</f>
        <v>136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EKS</vt:lpstr>
      <vt:lpstr>IQT</vt:lpstr>
      <vt:lpstr>KPI</vt:lpstr>
      <vt:lpstr>PAI</vt:lpstr>
      <vt:lpstr>PIAUD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2022-04-19T00:43:20Z</dcterms:created>
  <dcterms:modified xsi:type="dcterms:W3CDTF">2022-07-05T04:31:15Z</dcterms:modified>
</cp:coreProperties>
</file>
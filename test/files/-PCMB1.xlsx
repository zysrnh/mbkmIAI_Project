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ki\Documents\"/>
    </mc:Choice>
  </mc:AlternateContent>
  <bookViews>
    <workbookView xWindow="0" yWindow="0" windowWidth="11490" windowHeight="4650" activeTab="5"/>
  </bookViews>
  <sheets>
    <sheet name="EKS" sheetId="2" r:id="rId1"/>
    <sheet name="IQT" sheetId="3" r:id="rId2"/>
    <sheet name="KPI" sheetId="4" r:id="rId3"/>
    <sheet name="PAI" sheetId="5" r:id="rId4"/>
    <sheet name="PIAUD" sheetId="6" r:id="rId5"/>
    <sheet name="All" sheetId="7" r:id="rId6"/>
  </sheets>
  <calcPr calcId="152511"/>
</workbook>
</file>

<file path=xl/calcChain.xml><?xml version="1.0" encoding="utf-8"?>
<calcChain xmlns="http://schemas.openxmlformats.org/spreadsheetml/2006/main">
  <c r="F12" i="7" l="1"/>
  <c r="G19" i="6" l="1"/>
  <c r="G44" i="5"/>
  <c r="G18" i="4" l="1"/>
  <c r="G21" i="2"/>
  <c r="G37" i="3"/>
  <c r="G4" i="7" l="1"/>
  <c r="G5" i="7"/>
  <c r="G6" i="7"/>
  <c r="G7" i="7"/>
  <c r="G8" i="7"/>
  <c r="F10" i="7"/>
  <c r="E10" i="7"/>
  <c r="G10" i="7" l="1"/>
</calcChain>
</file>

<file path=xl/sharedStrings.xml><?xml version="1.0" encoding="utf-8"?>
<sst xmlns="http://schemas.openxmlformats.org/spreadsheetml/2006/main" count="572" uniqueCount="270">
  <si>
    <t>No.</t>
  </si>
  <si>
    <t>Nomor</t>
  </si>
  <si>
    <t>Nama</t>
  </si>
  <si>
    <t>Rifdah Rojwa Munibah</t>
  </si>
  <si>
    <t>EKONOMI SYARIAH</t>
  </si>
  <si>
    <t>Vina Aulia Putri Kayla</t>
  </si>
  <si>
    <t>PENDIDIKAN AGAMA ISLAM</t>
  </si>
  <si>
    <t>Risman Aqil</t>
  </si>
  <si>
    <t>PENDIDIKAN ISLAM ANAK USIA DINI</t>
  </si>
  <si>
    <t>Eka Fitrianurddini Kusmara</t>
  </si>
  <si>
    <t>Haikal Imtiaz Rabbani</t>
  </si>
  <si>
    <t>ILMU AL-QUR`AN DAN TAFSIR</t>
  </si>
  <si>
    <t>Siti Rahmah</t>
  </si>
  <si>
    <t>Siti Nur rizkia</t>
  </si>
  <si>
    <t>Hadian Zaki Anwari</t>
  </si>
  <si>
    <t>Leiza Shahly Nurul Insani</t>
  </si>
  <si>
    <t>KOMUNIKASI DAN PENYIARAN ISLAM</t>
  </si>
  <si>
    <t>Risma Nirmalasari</t>
  </si>
  <si>
    <t>afdhallul ramadhan</t>
  </si>
  <si>
    <t>Muhammad Zufar Adam</t>
  </si>
  <si>
    <t>Raida Rasyidah Azzakiyyah</t>
  </si>
  <si>
    <t>Hamzah Fikri Dienul Haq</t>
  </si>
  <si>
    <t>Nizar Al Faqih</t>
  </si>
  <si>
    <t>Muhamad Hanif Al-Faruq</t>
  </si>
  <si>
    <t>Aldi zufar syafiq</t>
  </si>
  <si>
    <t>Muhamad Rifki Fauzi</t>
  </si>
  <si>
    <t>AZELA NAZILAH GHIFARI</t>
  </si>
  <si>
    <t>Taufik Arif Hidayah</t>
  </si>
  <si>
    <t>fitri hidayanti</t>
  </si>
  <si>
    <t>Yusmayda Kafabik Nasir</t>
  </si>
  <si>
    <t>Muhammad Fajar</t>
  </si>
  <si>
    <t>Dhea Labibah Tamamiyah</t>
  </si>
  <si>
    <t>Ihsan Hilmi Aulia</t>
  </si>
  <si>
    <t>Rusli Zayani</t>
  </si>
  <si>
    <t>Syifa Amalia Nurfitriani</t>
  </si>
  <si>
    <t>Tiara Yunisbah Nurhafizha</t>
  </si>
  <si>
    <t>Sulton Ali Akbar Al Karim</t>
  </si>
  <si>
    <t>Fitriyani Rahayu</t>
  </si>
  <si>
    <t>Segner Priada Putri</t>
  </si>
  <si>
    <t>Fitrah Az-Zahra</t>
  </si>
  <si>
    <t>Muhammad Rahmat Nurhidayah</t>
  </si>
  <si>
    <t>Imelda nurdianti</t>
  </si>
  <si>
    <t>Hasni Nurhayati</t>
  </si>
  <si>
    <t>Selvi fitria</t>
  </si>
  <si>
    <t>Dena Ramdana</t>
  </si>
  <si>
    <t>Siti Arofatul Makkiah</t>
  </si>
  <si>
    <t>salsabila zahra</t>
  </si>
  <si>
    <t>Ajeng Nur Afifah</t>
  </si>
  <si>
    <t>Muhamad reza syah pahlevi</t>
  </si>
  <si>
    <t>Annisa Ayu Lestari</t>
  </si>
  <si>
    <t>Hasna putri ramdaniah</t>
  </si>
  <si>
    <t>Fajar Syafaq B.M</t>
  </si>
  <si>
    <t>Salman Al farisi</t>
  </si>
  <si>
    <t>ihsan ahmad b</t>
  </si>
  <si>
    <t>Azka Ihbatul Halim</t>
  </si>
  <si>
    <t>FAIZ BUDIMAN</t>
  </si>
  <si>
    <t>Ghaida Khoirunnisa</t>
  </si>
  <si>
    <t>Saeful Sidiq</t>
  </si>
  <si>
    <t>Hasna Humairoh Nadwah Al Masfufah</t>
  </si>
  <si>
    <t>Aliep Ahmad Maulana</t>
  </si>
  <si>
    <t>IMRON RAMDANI</t>
  </si>
  <si>
    <t>Muthia Rachman</t>
  </si>
  <si>
    <t>Ikbal Dian Saputra</t>
  </si>
  <si>
    <t>Asbar Bahtiar</t>
  </si>
  <si>
    <t>Nurul Hidayah</t>
  </si>
  <si>
    <t>Fauziah Fitriani</t>
  </si>
  <si>
    <t>Memey Maesaroh</t>
  </si>
  <si>
    <t>Najya aslamiy ash shiddiqqiy</t>
  </si>
  <si>
    <t>Silfa Sagita Nur Fauziah</t>
  </si>
  <si>
    <t>Humam Sholeh</t>
  </si>
  <si>
    <t>Azka Salma Alpaeni</t>
  </si>
  <si>
    <t>Azkia Rahmi</t>
  </si>
  <si>
    <t>Azka Aaliyatussadiyah</t>
  </si>
  <si>
    <t>Gigin Ginan Munawar</t>
  </si>
  <si>
    <t>Salman Latief Arrusydi</t>
  </si>
  <si>
    <t>Muhammad Nabil Naufal</t>
  </si>
  <si>
    <t>TIARA CAHYANINGRUM</t>
  </si>
  <si>
    <t>Yulia Agustina</t>
  </si>
  <si>
    <t>TITA SUCI BARKAH</t>
  </si>
  <si>
    <t>Nugraha Insan Nur Akbar</t>
  </si>
  <si>
    <t>YAYA SETIAWAN</t>
  </si>
  <si>
    <t>Haikal Muhammad Ramadhan</t>
  </si>
  <si>
    <t>Davin Elian Adiwidya</t>
  </si>
  <si>
    <t>Haifa Azzahra Hatuala</t>
  </si>
  <si>
    <t>Munira syamsa</t>
  </si>
  <si>
    <t>AGNIA NURUL ILMI</t>
  </si>
  <si>
    <t>Audrey Aditya Pasha Ismail</t>
  </si>
  <si>
    <t>Syafa Fazria</t>
  </si>
  <si>
    <t>umbara soleh</t>
  </si>
  <si>
    <t>Dini Husnia</t>
  </si>
  <si>
    <t>REZZA ANGGRAENI</t>
  </si>
  <si>
    <t>Ria heriawati</t>
  </si>
  <si>
    <t>Tsania syabani</t>
  </si>
  <si>
    <t>Usamah Al Ghozzi</t>
  </si>
  <si>
    <t>Ricky Havid Taufik putra</t>
  </si>
  <si>
    <t>Padli ardiansyah</t>
  </si>
  <si>
    <t>Irpan Nugraha</t>
  </si>
  <si>
    <t>Ika Nurhalija</t>
  </si>
  <si>
    <t>085722139018</t>
  </si>
  <si>
    <t>081395835442</t>
  </si>
  <si>
    <t>081313049474</t>
  </si>
  <si>
    <t>08999470042</t>
  </si>
  <si>
    <t>081321741075</t>
  </si>
  <si>
    <t>082124866406</t>
  </si>
  <si>
    <t>085719402849</t>
  </si>
  <si>
    <t>081384896229</t>
  </si>
  <si>
    <t>08886257436</t>
  </si>
  <si>
    <t>0895422679507</t>
  </si>
  <si>
    <t>082297808145</t>
  </si>
  <si>
    <t>085798902379</t>
  </si>
  <si>
    <t>081564966289</t>
  </si>
  <si>
    <t>085731942621</t>
  </si>
  <si>
    <t>08705713071</t>
  </si>
  <si>
    <t>085794320538</t>
  </si>
  <si>
    <t>088222042861</t>
  </si>
  <si>
    <t>089648420187</t>
  </si>
  <si>
    <t>088901624608</t>
  </si>
  <si>
    <t>089682126923</t>
  </si>
  <si>
    <t>085974744815</t>
  </si>
  <si>
    <t>083823235616</t>
  </si>
  <si>
    <t>085749782107</t>
  </si>
  <si>
    <t>085863803928</t>
  </si>
  <si>
    <t>083843125421</t>
  </si>
  <si>
    <t>085892955316</t>
  </si>
  <si>
    <t>082260001429</t>
  </si>
  <si>
    <t>085524675346</t>
  </si>
  <si>
    <t>087874636216</t>
  </si>
  <si>
    <t>0882000572004</t>
  </si>
  <si>
    <t>081222729865</t>
  </si>
  <si>
    <t>082321471554</t>
  </si>
  <si>
    <t>089629911596</t>
  </si>
  <si>
    <t>081324990686</t>
  </si>
  <si>
    <t>081324493351</t>
  </si>
  <si>
    <t>083124125540</t>
  </si>
  <si>
    <t>08882215081</t>
  </si>
  <si>
    <t>08977816457</t>
  </si>
  <si>
    <t>085220630992</t>
  </si>
  <si>
    <t>08986463343</t>
  </si>
  <si>
    <t>089513392169</t>
  </si>
  <si>
    <t>085624701182</t>
  </si>
  <si>
    <t>089638914375</t>
  </si>
  <si>
    <t>081394750651</t>
  </si>
  <si>
    <t>089637756528</t>
  </si>
  <si>
    <t>081220845588</t>
  </si>
  <si>
    <t>088238237787</t>
  </si>
  <si>
    <t>083829011818</t>
  </si>
  <si>
    <t>089655439027</t>
  </si>
  <si>
    <t>083120656703</t>
  </si>
  <si>
    <t>081218911388</t>
  </si>
  <si>
    <t>083820247083</t>
  </si>
  <si>
    <t>085707702738</t>
  </si>
  <si>
    <t>08886094283</t>
  </si>
  <si>
    <t>085817257600</t>
  </si>
  <si>
    <t>085320505327</t>
  </si>
  <si>
    <t>089526534646</t>
  </si>
  <si>
    <t>085846112967</t>
  </si>
  <si>
    <t>089646540822</t>
  </si>
  <si>
    <t>0895422696672</t>
  </si>
  <si>
    <t>0813222230354</t>
  </si>
  <si>
    <t>089636329408</t>
  </si>
  <si>
    <t>08981113885</t>
  </si>
  <si>
    <t>081313237757</t>
  </si>
  <si>
    <t>08996875205</t>
  </si>
  <si>
    <t>089655686788</t>
  </si>
  <si>
    <t>081222922207</t>
  </si>
  <si>
    <t>083156624173</t>
  </si>
  <si>
    <t>082128822667</t>
  </si>
  <si>
    <t>089531508314</t>
  </si>
  <si>
    <t>085295006041</t>
  </si>
  <si>
    <t>085559322139</t>
  </si>
  <si>
    <t>0895410271880</t>
  </si>
  <si>
    <t>089689634888</t>
  </si>
  <si>
    <t>085944288629</t>
  </si>
  <si>
    <t>083826394133</t>
  </si>
  <si>
    <t>085156397856</t>
  </si>
  <si>
    <t>083829417586</t>
  </si>
  <si>
    <t>083824069778</t>
  </si>
  <si>
    <t>089656003129</t>
  </si>
  <si>
    <t>089618644545</t>
  </si>
  <si>
    <t>081321114085</t>
  </si>
  <si>
    <t>081371145838</t>
  </si>
  <si>
    <t>081217674990</t>
  </si>
  <si>
    <t>08882259276</t>
  </si>
  <si>
    <t>085217257320</t>
  </si>
  <si>
    <t>085210223600</t>
  </si>
  <si>
    <t>085798120710</t>
  </si>
  <si>
    <t>O</t>
  </si>
  <si>
    <r>
      <t> </t>
    </r>
    <r>
      <rPr>
        <b/>
        <sz val="11"/>
        <color rgb="FF00B050"/>
        <rFont val="Wingdings 2"/>
        <family val="1"/>
        <charset val="2"/>
      </rPr>
      <t>P</t>
    </r>
  </si>
  <si>
    <t>085846260686</t>
  </si>
  <si>
    <t>Program Studi</t>
  </si>
  <si>
    <t>No Kontak</t>
  </si>
  <si>
    <t>Rafii Naufal Kusumah</t>
  </si>
  <si>
    <t>085162630636</t>
  </si>
  <si>
    <t>Daffa maulana zain</t>
  </si>
  <si>
    <t>082252468896</t>
  </si>
  <si>
    <t>Status</t>
  </si>
  <si>
    <t>Pendaftaran</t>
  </si>
  <si>
    <t>08095344347079</t>
  </si>
  <si>
    <t>Kode</t>
  </si>
  <si>
    <t>Tampung</t>
  </si>
  <si>
    <t>Pendaftar</t>
  </si>
  <si>
    <t>Prodi</t>
  </si>
  <si>
    <t>Sudah Konfirmasi</t>
  </si>
  <si>
    <t>Belum Konfirmasi</t>
  </si>
  <si>
    <t>Total</t>
  </si>
  <si>
    <t>Belum Bayar</t>
  </si>
  <si>
    <t>Sudah Bayar</t>
  </si>
  <si>
    <t>Ridha widyaningsih</t>
  </si>
  <si>
    <t>Marwan padang</t>
  </si>
  <si>
    <t>082281578092</t>
  </si>
  <si>
    <t>Rifqi Sakti Firdaus</t>
  </si>
  <si>
    <t>088806372745</t>
  </si>
  <si>
    <t>Rian purnama</t>
  </si>
  <si>
    <t>MUHAMAD ZAM ZAM AL FIKRI</t>
  </si>
  <si>
    <t>MUHAMMAD AL DAFFA</t>
  </si>
  <si>
    <t>Nasywa Luthfiyyah Hardi</t>
  </si>
  <si>
    <t>Ihsan Fatahillah</t>
  </si>
  <si>
    <t>Ivan Wanda</t>
  </si>
  <si>
    <t>085938645686</t>
  </si>
  <si>
    <t>083867442394</t>
  </si>
  <si>
    <t>08980943377</t>
  </si>
  <si>
    <t>087853278728</t>
  </si>
  <si>
    <t>085721224568</t>
  </si>
  <si>
    <t>083801367297</t>
  </si>
  <si>
    <t>ERVINA TASANI</t>
  </si>
  <si>
    <t>Anisa Septiani</t>
  </si>
  <si>
    <t>WANTI RAHMAWATI</t>
  </si>
  <si>
    <t>Noval yuda ibrahim</t>
  </si>
  <si>
    <t>RIZKI RIZAL FAUZI</t>
  </si>
  <si>
    <t>FAUZAN ATSIL HAERUDIN</t>
  </si>
  <si>
    <t>0895613504488</t>
  </si>
  <si>
    <t>088215955695</t>
  </si>
  <si>
    <t>08135212500</t>
  </si>
  <si>
    <t>085871363152</t>
  </si>
  <si>
    <t>087727296492</t>
  </si>
  <si>
    <t>081220120454</t>
  </si>
  <si>
    <t>Nadia Aulia</t>
  </si>
  <si>
    <t>Rifki Aufa Fikri</t>
  </si>
  <si>
    <t>FIRZA FAIRUZ FAUZAINI</t>
  </si>
  <si>
    <t>Syumayah asyiah</t>
  </si>
  <si>
    <t>087724757447</t>
  </si>
  <si>
    <t>081383040146</t>
  </si>
  <si>
    <t>082130908395</t>
  </si>
  <si>
    <t>089678600030</t>
  </si>
  <si>
    <t>salsabila khaerunisa</t>
  </si>
  <si>
    <t>Fikri Abdillah Azam</t>
  </si>
  <si>
    <t>Muhammad hasbi qodarurrahman</t>
  </si>
  <si>
    <t>Nadhira Zafira Wafiyya</t>
  </si>
  <si>
    <t>Yuni Srirahayu</t>
  </si>
  <si>
    <t>Muhammad Ikhsan</t>
  </si>
  <si>
    <t>Nathiqoh Istiqomah</t>
  </si>
  <si>
    <t>Rani</t>
  </si>
  <si>
    <t>Nurfadillah</t>
  </si>
  <si>
    <t>Ade Faisal Idul Hak</t>
  </si>
  <si>
    <t>Nisa saniawati</t>
  </si>
  <si>
    <t>085798179626</t>
  </si>
  <si>
    <t>089687989640</t>
  </si>
  <si>
    <t>085624283221</t>
  </si>
  <si>
    <t>089635580505</t>
  </si>
  <si>
    <t>088223252667</t>
  </si>
  <si>
    <t>08311818122</t>
  </si>
  <si>
    <t>0895386560030</t>
  </si>
  <si>
    <t>085794937490</t>
  </si>
  <si>
    <t>0895605562078</t>
  </si>
  <si>
    <t>6281224674194</t>
  </si>
  <si>
    <t>0857942390032</t>
  </si>
  <si>
    <t>Putri Nuraeni</t>
  </si>
  <si>
    <t>Husnul Mugnia Rohman</t>
  </si>
  <si>
    <t>Indri Yani</t>
  </si>
  <si>
    <t>Nazhira Aulia Taftazany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</si>
</sst>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[$Rp-421]* #,##0_);_([$Rp-421]* \(#,##0\);_([$Rp-421]* &quot;-&quot;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Wingdings 2"/>
      <family val="1"/>
      <charset val="2"/>
    </font>
    <font>
      <b/>
      <sz val="11"/>
      <color rgb="FF00B050"/>
      <name val="Calibri"/>
      <family val="2"/>
      <scheme val="minor"/>
    </font>
    <font>
      <b/>
      <sz val="11"/>
      <color rgb="FF00B050"/>
      <name val="Wingdings 2"/>
      <family val="1"/>
      <charset val="2"/>
    </font>
    <font>
      <sz val="11"/>
      <color rgb="FF333333"/>
      <name val="Calibri"/>
      <family val="2"/>
      <scheme val="minor"/>
    </font>
    <font>
      <sz val="11"/>
      <color rgb="FF333333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0" fillId="0" borderId="0" xfId="0" applyNumberFormat="1"/>
    <xf numFmtId="0" fontId="0" fillId="2" borderId="1" xfId="0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164" fontId="0" fillId="2" borderId="0" xfId="0" applyNumberFormat="1" applyFill="1"/>
    <xf numFmtId="0" fontId="0" fillId="5" borderId="1" xfId="0" applyFill="1" applyBorder="1"/>
    <xf numFmtId="0" fontId="2" fillId="5" borderId="1" xfId="0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5" borderId="1" xfId="0" applyNumberFormat="1" applyFont="1" applyFill="1" applyBorder="1" applyAlignment="1">
      <alignment horizontal="center"/>
    </xf>
    <xf numFmtId="49" fontId="5" fillId="0" borderId="1" xfId="0" applyNumberFormat="1" applyFont="1" applyBorder="1"/>
    <xf numFmtId="0" fontId="0" fillId="0" borderId="0" xfId="0" applyBorder="1" applyAlignment="1">
      <alignment horizontal="center"/>
    </xf>
    <xf numFmtId="49" fontId="0" fillId="0" borderId="0" xfId="0" applyNumberFormat="1" applyAlignment="1">
      <alignment horizontal="center"/>
    </xf>
    <xf numFmtId="49" fontId="6" fillId="0" borderId="1" xfId="0" applyNumberFormat="1" applyFont="1" applyBorder="1"/>
    <xf numFmtId="49" fontId="5" fillId="0" borderId="0" xfId="0" applyNumberFormat="1" applyFont="1" applyBorder="1" applyAlignment="1">
      <alignment horizontal="center"/>
    </xf>
    <xf numFmtId="49" fontId="0" fillId="0" borderId="1" xfId="0" applyNumberFormat="1" applyBorder="1"/>
    <xf numFmtId="164" fontId="0" fillId="2" borderId="0" xfId="0" applyNumberFormat="1" applyFill="1" applyBorder="1"/>
    <xf numFmtId="49" fontId="0" fillId="0" borderId="1" xfId="0" applyNumberFormat="1" applyBorder="1" applyAlignment="1">
      <alignment horizontal="center"/>
    </xf>
    <xf numFmtId="0" fontId="0" fillId="0" borderId="1" xfId="0" applyFill="1" applyBorder="1"/>
    <xf numFmtId="164" fontId="0" fillId="0" borderId="1" xfId="0" applyNumberFormat="1" applyFill="1" applyBorder="1"/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164" fontId="7" fillId="0" borderId="1" xfId="0" applyNumberFormat="1" applyFont="1" applyBorder="1"/>
    <xf numFmtId="0" fontId="6" fillId="0" borderId="0" xfId="0" applyFont="1"/>
    <xf numFmtId="0" fontId="0" fillId="0" borderId="2" xfId="0" applyFill="1" applyBorder="1"/>
    <xf numFmtId="0" fontId="2" fillId="0" borderId="2" xfId="0" applyFont="1" applyBorder="1" applyAlignment="1">
      <alignment horizontal="center"/>
    </xf>
    <xf numFmtId="164" fontId="0" fillId="0" borderId="2" xfId="0" applyNumberFormat="1" applyFill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M114" sqref="M113:M114"/>
    </sheetView>
  </sheetViews>
  <sheetFormatPr defaultRowHeight="15" x14ac:dyDescent="0.25"/>
  <cols>
    <col min="1" max="1" width="4.140625" bestFit="1" customWidth="1"/>
    <col min="2" max="2" width="10" bestFit="1" customWidth="1"/>
    <col min="3" max="3" width="26" bestFit="1" customWidth="1"/>
    <col min="4" max="4" width="18" bestFit="1" customWidth="1"/>
    <col min="5" max="5" width="6.42578125" bestFit="1" customWidth="1"/>
    <col min="6" max="6" width="14.140625" style="26" customWidth="1"/>
    <col min="7" max="7" width="13.42578125" style="9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189</v>
      </c>
      <c r="E1" s="2" t="s">
        <v>195</v>
      </c>
      <c r="F1" s="1" t="s">
        <v>190</v>
      </c>
      <c r="G1" s="17" t="s">
        <v>196</v>
      </c>
    </row>
    <row r="2" spans="1:7" x14ac:dyDescent="0.25">
      <c r="A2" s="3">
        <v>1</v>
      </c>
      <c r="B2" s="4">
        <v>202200270</v>
      </c>
      <c r="C2" s="4" t="s">
        <v>24</v>
      </c>
      <c r="D2" s="4" t="s">
        <v>4</v>
      </c>
      <c r="E2" s="5" t="s">
        <v>187</v>
      </c>
      <c r="F2" s="22" t="s">
        <v>114</v>
      </c>
      <c r="G2" s="10">
        <v>400000</v>
      </c>
    </row>
    <row r="3" spans="1:7" x14ac:dyDescent="0.25">
      <c r="A3" s="3">
        <v>2</v>
      </c>
      <c r="B3" s="4">
        <v>202200230</v>
      </c>
      <c r="C3" s="4" t="s">
        <v>59</v>
      </c>
      <c r="D3" s="4" t="s">
        <v>4</v>
      </c>
      <c r="E3" s="5" t="s">
        <v>187</v>
      </c>
      <c r="F3" s="22" t="s">
        <v>149</v>
      </c>
      <c r="G3" s="10">
        <v>400000</v>
      </c>
    </row>
    <row r="4" spans="1:7" x14ac:dyDescent="0.25">
      <c r="A4" s="3">
        <v>3</v>
      </c>
      <c r="B4" s="4">
        <v>202200319</v>
      </c>
      <c r="C4" s="4" t="s">
        <v>225</v>
      </c>
      <c r="D4" s="4" t="s">
        <v>4</v>
      </c>
      <c r="E4" s="5" t="s">
        <v>187</v>
      </c>
      <c r="F4" s="29" t="s">
        <v>231</v>
      </c>
      <c r="G4" s="10">
        <v>400000</v>
      </c>
    </row>
    <row r="5" spans="1:7" x14ac:dyDescent="0.25">
      <c r="A5" s="3">
        <v>4</v>
      </c>
      <c r="B5" s="4">
        <v>202200322</v>
      </c>
      <c r="C5" s="4" t="s">
        <v>224</v>
      </c>
      <c r="D5" s="4" t="s">
        <v>4</v>
      </c>
      <c r="E5" s="6" t="s">
        <v>186</v>
      </c>
      <c r="F5" s="29" t="s">
        <v>230</v>
      </c>
      <c r="G5" s="4"/>
    </row>
    <row r="6" spans="1:7" x14ac:dyDescent="0.25">
      <c r="A6" s="3">
        <v>5</v>
      </c>
      <c r="B6" s="4">
        <v>202200296</v>
      </c>
      <c r="C6" s="4" t="s">
        <v>229</v>
      </c>
      <c r="D6" s="4" t="s">
        <v>4</v>
      </c>
      <c r="E6" s="6" t="s">
        <v>186</v>
      </c>
      <c r="F6" s="29" t="s">
        <v>235</v>
      </c>
      <c r="G6" s="4"/>
    </row>
    <row r="7" spans="1:7" x14ac:dyDescent="0.25">
      <c r="A7" s="3">
        <v>6</v>
      </c>
      <c r="B7" s="4">
        <v>202200224</v>
      </c>
      <c r="C7" s="4" t="s">
        <v>65</v>
      </c>
      <c r="D7" s="4" t="s">
        <v>4</v>
      </c>
      <c r="E7" s="5" t="s">
        <v>187</v>
      </c>
      <c r="F7" s="22" t="s">
        <v>155</v>
      </c>
      <c r="G7" s="10">
        <v>400000</v>
      </c>
    </row>
    <row r="8" spans="1:7" x14ac:dyDescent="0.25">
      <c r="A8" s="3">
        <v>7</v>
      </c>
      <c r="B8" s="4">
        <v>202200255</v>
      </c>
      <c r="C8" s="4" t="s">
        <v>37</v>
      </c>
      <c r="D8" s="4" t="s">
        <v>4</v>
      </c>
      <c r="E8" s="6" t="s">
        <v>186</v>
      </c>
      <c r="F8" s="22" t="s">
        <v>127</v>
      </c>
      <c r="G8" s="10"/>
    </row>
    <row r="9" spans="1:7" x14ac:dyDescent="0.25">
      <c r="A9" s="3">
        <v>8</v>
      </c>
      <c r="B9" s="4">
        <v>202200214</v>
      </c>
      <c r="C9" s="4" t="s">
        <v>73</v>
      </c>
      <c r="D9" s="4" t="s">
        <v>4</v>
      </c>
      <c r="E9" s="5" t="s">
        <v>187</v>
      </c>
      <c r="F9" s="22" t="s">
        <v>162</v>
      </c>
      <c r="G9" s="10">
        <v>400000</v>
      </c>
    </row>
    <row r="10" spans="1:7" x14ac:dyDescent="0.25">
      <c r="A10" s="3">
        <v>9</v>
      </c>
      <c r="B10" s="4">
        <v>202200244</v>
      </c>
      <c r="C10" s="4" t="s">
        <v>48</v>
      </c>
      <c r="D10" s="4" t="s">
        <v>4</v>
      </c>
      <c r="E10" s="6" t="s">
        <v>186</v>
      </c>
      <c r="F10" s="22" t="s">
        <v>138</v>
      </c>
      <c r="G10" s="10"/>
    </row>
    <row r="11" spans="1:7" x14ac:dyDescent="0.25">
      <c r="A11" s="3">
        <v>10</v>
      </c>
      <c r="B11" s="4">
        <v>202200262</v>
      </c>
      <c r="C11" s="4" t="s">
        <v>30</v>
      </c>
      <c r="D11" s="4" t="s">
        <v>4</v>
      </c>
      <c r="E11" s="6" t="s">
        <v>186</v>
      </c>
      <c r="F11" s="22" t="s">
        <v>120</v>
      </c>
      <c r="G11" s="10"/>
    </row>
    <row r="12" spans="1:7" x14ac:dyDescent="0.25">
      <c r="A12" s="3">
        <v>11</v>
      </c>
      <c r="B12" s="4">
        <v>202200195</v>
      </c>
      <c r="C12" s="4" t="s">
        <v>84</v>
      </c>
      <c r="D12" s="4" t="s">
        <v>4</v>
      </c>
      <c r="E12" s="6" t="s">
        <v>186</v>
      </c>
      <c r="F12" s="22" t="s">
        <v>172</v>
      </c>
      <c r="G12" s="10"/>
    </row>
    <row r="13" spans="1:7" x14ac:dyDescent="0.25">
      <c r="A13" s="3">
        <v>12</v>
      </c>
      <c r="B13" s="4">
        <v>202200312</v>
      </c>
      <c r="C13" s="4" t="s">
        <v>227</v>
      </c>
      <c r="D13" s="4" t="s">
        <v>4</v>
      </c>
      <c r="E13" s="6" t="s">
        <v>186</v>
      </c>
      <c r="F13" s="29" t="s">
        <v>233</v>
      </c>
      <c r="G13" s="4"/>
    </row>
    <row r="14" spans="1:7" x14ac:dyDescent="0.25">
      <c r="A14" s="3">
        <v>13</v>
      </c>
      <c r="B14" s="4">
        <v>202200274</v>
      </c>
      <c r="C14" s="4" t="s">
        <v>20</v>
      </c>
      <c r="D14" s="4" t="s">
        <v>4</v>
      </c>
      <c r="E14" s="5" t="s">
        <v>187</v>
      </c>
      <c r="F14" s="29" t="s">
        <v>110</v>
      </c>
      <c r="G14" s="10">
        <v>400000</v>
      </c>
    </row>
    <row r="15" spans="1:7" x14ac:dyDescent="0.25">
      <c r="A15" s="3">
        <v>14</v>
      </c>
      <c r="B15" s="4">
        <v>202200291</v>
      </c>
      <c r="C15" s="4" t="s">
        <v>3</v>
      </c>
      <c r="D15" s="4" t="s">
        <v>4</v>
      </c>
      <c r="E15" s="5" t="s">
        <v>187</v>
      </c>
      <c r="F15" s="22" t="s">
        <v>98</v>
      </c>
      <c r="G15" s="10">
        <v>400000</v>
      </c>
    </row>
    <row r="16" spans="1:7" x14ac:dyDescent="0.25">
      <c r="A16" s="3">
        <v>15</v>
      </c>
      <c r="B16" s="4">
        <v>202200278</v>
      </c>
      <c r="C16" s="4" t="s">
        <v>17</v>
      </c>
      <c r="D16" s="4" t="s">
        <v>4</v>
      </c>
      <c r="E16" s="6" t="s">
        <v>186</v>
      </c>
      <c r="F16" s="29" t="s">
        <v>107</v>
      </c>
      <c r="G16" s="4"/>
    </row>
    <row r="17" spans="1:7" x14ac:dyDescent="0.25">
      <c r="A17" s="3">
        <v>16</v>
      </c>
      <c r="B17" s="4">
        <v>202200306</v>
      </c>
      <c r="C17" s="4" t="s">
        <v>228</v>
      </c>
      <c r="D17" s="4" t="s">
        <v>4</v>
      </c>
      <c r="E17" s="6" t="s">
        <v>186</v>
      </c>
      <c r="F17" s="29" t="s">
        <v>234</v>
      </c>
      <c r="G17" s="4"/>
    </row>
    <row r="18" spans="1:7" x14ac:dyDescent="0.25">
      <c r="A18" s="3">
        <v>17</v>
      </c>
      <c r="B18" s="4">
        <v>202200249</v>
      </c>
      <c r="C18" s="4" t="s">
        <v>43</v>
      </c>
      <c r="D18" s="4" t="s">
        <v>4</v>
      </c>
      <c r="E18" s="6" t="s">
        <v>186</v>
      </c>
      <c r="F18" s="22" t="s">
        <v>133</v>
      </c>
      <c r="G18" s="10"/>
    </row>
    <row r="19" spans="1:7" x14ac:dyDescent="0.25">
      <c r="A19" s="3">
        <v>18</v>
      </c>
      <c r="B19" s="4">
        <v>202200284</v>
      </c>
      <c r="C19" s="4" t="s">
        <v>12</v>
      </c>
      <c r="D19" s="4" t="s">
        <v>4</v>
      </c>
      <c r="E19" s="5" t="s">
        <v>187</v>
      </c>
      <c r="F19" s="22" t="s">
        <v>104</v>
      </c>
      <c r="G19" s="10">
        <v>400000</v>
      </c>
    </row>
    <row r="20" spans="1:7" x14ac:dyDescent="0.25">
      <c r="A20" s="3">
        <v>19</v>
      </c>
      <c r="B20" s="4">
        <v>202200314</v>
      </c>
      <c r="C20" s="4" t="s">
        <v>226</v>
      </c>
      <c r="D20" s="4" t="s">
        <v>4</v>
      </c>
      <c r="E20" s="6" t="s">
        <v>186</v>
      </c>
      <c r="F20" s="29" t="s">
        <v>232</v>
      </c>
      <c r="G20" s="4"/>
    </row>
    <row r="21" spans="1:7" x14ac:dyDescent="0.25">
      <c r="A21" s="25"/>
      <c r="B21" s="15"/>
      <c r="C21" s="15"/>
      <c r="D21" s="15"/>
      <c r="E21" s="16"/>
      <c r="F21" s="28"/>
      <c r="G21" s="30">
        <f>SUM(G2:G20)</f>
        <v>3200000</v>
      </c>
    </row>
    <row r="23" spans="1:7" x14ac:dyDescent="0.25">
      <c r="B23" s="14" t="s">
        <v>187</v>
      </c>
      <c r="C23" s="15" t="s">
        <v>202</v>
      </c>
    </row>
    <row r="24" spans="1:7" x14ac:dyDescent="0.25">
      <c r="B24" s="16" t="s">
        <v>186</v>
      </c>
      <c r="C24" s="15" t="s">
        <v>203</v>
      </c>
    </row>
  </sheetData>
  <sortState ref="B2:G26">
    <sortCondition ref="C2:C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19" workbookViewId="0">
      <selection activeCell="I22" sqref="I22"/>
    </sheetView>
  </sheetViews>
  <sheetFormatPr defaultRowHeight="15" x14ac:dyDescent="0.25"/>
  <cols>
    <col min="1" max="1" width="4.140625" customWidth="1"/>
    <col min="2" max="2" width="10" bestFit="1" customWidth="1"/>
    <col min="3" max="3" width="23.42578125" bestFit="1" customWidth="1"/>
    <col min="4" max="4" width="27.28515625" bestFit="1" customWidth="1"/>
    <col min="6" max="6" width="14.85546875" style="26" bestFit="1" customWidth="1"/>
    <col min="7" max="7" width="13.42578125" style="9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189</v>
      </c>
      <c r="E1" s="2" t="s">
        <v>195</v>
      </c>
      <c r="F1" s="1" t="s">
        <v>190</v>
      </c>
      <c r="G1" s="17" t="s">
        <v>196</v>
      </c>
    </row>
    <row r="2" spans="1:7" x14ac:dyDescent="0.25">
      <c r="A2" s="3">
        <v>1</v>
      </c>
      <c r="B2" s="4">
        <v>202200285</v>
      </c>
      <c r="C2" s="4" t="s">
        <v>10</v>
      </c>
      <c r="D2" s="4" t="s">
        <v>11</v>
      </c>
      <c r="E2" s="6" t="s">
        <v>186</v>
      </c>
      <c r="F2" s="22" t="s">
        <v>103</v>
      </c>
      <c r="G2" s="10"/>
    </row>
    <row r="3" spans="1:7" x14ac:dyDescent="0.25">
      <c r="A3" s="3">
        <v>2</v>
      </c>
      <c r="B3" s="4">
        <v>202200273</v>
      </c>
      <c r="C3" s="4" t="s">
        <v>21</v>
      </c>
      <c r="D3" s="4" t="s">
        <v>11</v>
      </c>
      <c r="E3" s="5" t="s">
        <v>187</v>
      </c>
      <c r="F3" s="22" t="s">
        <v>111</v>
      </c>
      <c r="G3" s="10">
        <v>400000</v>
      </c>
    </row>
    <row r="4" spans="1:7" x14ac:dyDescent="0.25">
      <c r="A4" s="3">
        <v>3</v>
      </c>
      <c r="B4" s="4">
        <v>202200272</v>
      </c>
      <c r="C4" s="4" t="s">
        <v>22</v>
      </c>
      <c r="D4" s="4" t="s">
        <v>11</v>
      </c>
      <c r="E4" s="5" t="s">
        <v>187</v>
      </c>
      <c r="F4" s="22" t="s">
        <v>112</v>
      </c>
      <c r="G4" s="10">
        <v>400000</v>
      </c>
    </row>
    <row r="5" spans="1:7" x14ac:dyDescent="0.25">
      <c r="A5" s="3">
        <v>4</v>
      </c>
      <c r="B5" s="4">
        <v>202200263</v>
      </c>
      <c r="C5" s="4" t="s">
        <v>29</v>
      </c>
      <c r="D5" s="4" t="s">
        <v>11</v>
      </c>
      <c r="E5" s="6" t="s">
        <v>186</v>
      </c>
      <c r="F5" s="22" t="s">
        <v>119</v>
      </c>
      <c r="G5" s="10"/>
    </row>
    <row r="6" spans="1:7" x14ac:dyDescent="0.25">
      <c r="A6" s="3">
        <v>5</v>
      </c>
      <c r="B6" s="4">
        <v>202200248</v>
      </c>
      <c r="C6" s="4" t="s">
        <v>44</v>
      </c>
      <c r="D6" s="4" t="s">
        <v>11</v>
      </c>
      <c r="E6" s="6" t="s">
        <v>186</v>
      </c>
      <c r="F6" s="22" t="s">
        <v>134</v>
      </c>
      <c r="G6" s="10"/>
    </row>
    <row r="7" spans="1:7" x14ac:dyDescent="0.25">
      <c r="A7" s="3">
        <v>6</v>
      </c>
      <c r="B7" s="4">
        <v>202200247</v>
      </c>
      <c r="C7" s="4" t="s">
        <v>45</v>
      </c>
      <c r="D7" s="4" t="s">
        <v>11</v>
      </c>
      <c r="E7" s="5" t="s">
        <v>187</v>
      </c>
      <c r="F7" s="22" t="s">
        <v>135</v>
      </c>
      <c r="G7" s="10">
        <v>400000</v>
      </c>
    </row>
    <row r="8" spans="1:7" x14ac:dyDescent="0.25">
      <c r="A8" s="3">
        <v>7</v>
      </c>
      <c r="B8" s="4">
        <v>202200246</v>
      </c>
      <c r="C8" s="4" t="s">
        <v>46</v>
      </c>
      <c r="D8" s="4" t="s">
        <v>11</v>
      </c>
      <c r="E8" s="6" t="s">
        <v>186</v>
      </c>
      <c r="F8" s="22" t="s">
        <v>136</v>
      </c>
      <c r="G8" s="10"/>
    </row>
    <row r="9" spans="1:7" x14ac:dyDescent="0.25">
      <c r="A9" s="3">
        <v>8</v>
      </c>
      <c r="B9" s="4">
        <v>202200237</v>
      </c>
      <c r="C9" s="4" t="s">
        <v>53</v>
      </c>
      <c r="D9" s="4" t="s">
        <v>11</v>
      </c>
      <c r="E9" s="6" t="s">
        <v>186</v>
      </c>
      <c r="F9" s="22" t="s">
        <v>143</v>
      </c>
      <c r="G9" s="10"/>
    </row>
    <row r="10" spans="1:7" x14ac:dyDescent="0.25">
      <c r="A10" s="3">
        <v>9</v>
      </c>
      <c r="B10" s="4">
        <v>202200236</v>
      </c>
      <c r="C10" s="4" t="s">
        <v>54</v>
      </c>
      <c r="D10" s="4" t="s">
        <v>11</v>
      </c>
      <c r="E10" s="6" t="s">
        <v>186</v>
      </c>
      <c r="F10" s="22" t="s">
        <v>144</v>
      </c>
      <c r="G10" s="10"/>
    </row>
    <row r="11" spans="1:7" x14ac:dyDescent="0.25">
      <c r="A11" s="3">
        <v>10</v>
      </c>
      <c r="B11" s="4">
        <v>202200235</v>
      </c>
      <c r="C11" s="4" t="s">
        <v>55</v>
      </c>
      <c r="D11" s="4" t="s">
        <v>11</v>
      </c>
      <c r="E11" s="5" t="s">
        <v>187</v>
      </c>
      <c r="F11" s="22" t="s">
        <v>145</v>
      </c>
      <c r="G11" s="10">
        <v>400000</v>
      </c>
    </row>
    <row r="12" spans="1:7" x14ac:dyDescent="0.25">
      <c r="A12" s="3">
        <v>11</v>
      </c>
      <c r="B12" s="4">
        <v>202200232</v>
      </c>
      <c r="C12" s="4" t="s">
        <v>57</v>
      </c>
      <c r="D12" s="4" t="s">
        <v>11</v>
      </c>
      <c r="E12" s="5" t="s">
        <v>187</v>
      </c>
      <c r="F12" s="22" t="s">
        <v>147</v>
      </c>
      <c r="G12" s="10">
        <v>400000</v>
      </c>
    </row>
    <row r="13" spans="1:7" x14ac:dyDescent="0.25">
      <c r="A13" s="3">
        <v>12</v>
      </c>
      <c r="B13" s="4">
        <v>202200229</v>
      </c>
      <c r="C13" s="4" t="s">
        <v>60</v>
      </c>
      <c r="D13" s="4" t="s">
        <v>11</v>
      </c>
      <c r="E13" s="6" t="s">
        <v>186</v>
      </c>
      <c r="F13" s="22" t="s">
        <v>150</v>
      </c>
      <c r="G13" s="10"/>
    </row>
    <row r="14" spans="1:7" x14ac:dyDescent="0.25">
      <c r="A14" s="3">
        <v>13</v>
      </c>
      <c r="B14" s="4">
        <v>202200227</v>
      </c>
      <c r="C14" s="4" t="s">
        <v>62</v>
      </c>
      <c r="D14" s="4" t="s">
        <v>11</v>
      </c>
      <c r="E14" s="6" t="s">
        <v>186</v>
      </c>
      <c r="F14" s="22" t="s">
        <v>151</v>
      </c>
      <c r="G14" s="10"/>
    </row>
    <row r="15" spans="1:7" x14ac:dyDescent="0.25">
      <c r="A15" s="3">
        <v>14</v>
      </c>
      <c r="B15" s="4">
        <v>202200226</v>
      </c>
      <c r="C15" s="4" t="s">
        <v>63</v>
      </c>
      <c r="D15" s="4" t="s">
        <v>11</v>
      </c>
      <c r="E15" s="5" t="s">
        <v>187</v>
      </c>
      <c r="F15" s="22" t="s">
        <v>153</v>
      </c>
      <c r="G15" s="10">
        <v>400000</v>
      </c>
    </row>
    <row r="16" spans="1:7" x14ac:dyDescent="0.25">
      <c r="A16" s="3">
        <v>15</v>
      </c>
      <c r="B16" s="4">
        <v>202200223</v>
      </c>
      <c r="C16" s="4" t="s">
        <v>66</v>
      </c>
      <c r="D16" s="4" t="s">
        <v>11</v>
      </c>
      <c r="E16" s="6" t="s">
        <v>186</v>
      </c>
      <c r="F16" s="22" t="s">
        <v>156</v>
      </c>
      <c r="G16" s="10"/>
    </row>
    <row r="17" spans="1:7" x14ac:dyDescent="0.25">
      <c r="A17" s="3">
        <v>16</v>
      </c>
      <c r="B17" s="4">
        <v>202200218</v>
      </c>
      <c r="C17" s="4" t="s">
        <v>70</v>
      </c>
      <c r="D17" s="4" t="s">
        <v>11</v>
      </c>
      <c r="E17" s="5" t="s">
        <v>187</v>
      </c>
      <c r="F17" s="22" t="s">
        <v>159</v>
      </c>
      <c r="G17" s="10">
        <v>400000</v>
      </c>
    </row>
    <row r="18" spans="1:7" x14ac:dyDescent="0.25">
      <c r="A18" s="3">
        <v>17</v>
      </c>
      <c r="B18" s="4">
        <v>202200217</v>
      </c>
      <c r="C18" s="4" t="s">
        <v>71</v>
      </c>
      <c r="D18" s="4" t="s">
        <v>11</v>
      </c>
      <c r="E18" s="5" t="s">
        <v>187</v>
      </c>
      <c r="F18" s="22" t="s">
        <v>160</v>
      </c>
      <c r="G18" s="10">
        <v>400000</v>
      </c>
    </row>
    <row r="19" spans="1:7" x14ac:dyDescent="0.25">
      <c r="A19" s="3">
        <v>18</v>
      </c>
      <c r="B19" s="4">
        <v>202200215</v>
      </c>
      <c r="C19" s="4" t="s">
        <v>72</v>
      </c>
      <c r="D19" s="4" t="s">
        <v>11</v>
      </c>
      <c r="E19" s="5" t="s">
        <v>187</v>
      </c>
      <c r="F19" s="22" t="s">
        <v>161</v>
      </c>
      <c r="G19" s="10">
        <v>400000</v>
      </c>
    </row>
    <row r="20" spans="1:7" x14ac:dyDescent="0.25">
      <c r="A20" s="3">
        <v>19</v>
      </c>
      <c r="B20" s="4">
        <v>202200213</v>
      </c>
      <c r="C20" s="4" t="s">
        <v>74</v>
      </c>
      <c r="D20" s="4" t="s">
        <v>11</v>
      </c>
      <c r="E20" s="5" t="s">
        <v>187</v>
      </c>
      <c r="F20" s="22" t="s">
        <v>163</v>
      </c>
      <c r="G20" s="10">
        <v>400000</v>
      </c>
    </row>
    <row r="21" spans="1:7" x14ac:dyDescent="0.25">
      <c r="A21" s="3">
        <v>20</v>
      </c>
      <c r="B21" s="4">
        <v>202200212</v>
      </c>
      <c r="C21" s="4" t="s">
        <v>75</v>
      </c>
      <c r="D21" s="4" t="s">
        <v>11</v>
      </c>
      <c r="E21" s="5" t="s">
        <v>187</v>
      </c>
      <c r="F21" s="22" t="s">
        <v>164</v>
      </c>
      <c r="G21" s="10">
        <v>400000</v>
      </c>
    </row>
    <row r="22" spans="1:7" x14ac:dyDescent="0.25">
      <c r="A22" s="3">
        <v>21</v>
      </c>
      <c r="B22" s="4">
        <v>202200208</v>
      </c>
      <c r="C22" s="4" t="s">
        <v>79</v>
      </c>
      <c r="D22" s="4" t="s">
        <v>11</v>
      </c>
      <c r="E22" s="5" t="s">
        <v>187</v>
      </c>
      <c r="F22" s="22" t="s">
        <v>167</v>
      </c>
      <c r="G22" s="10">
        <v>400000</v>
      </c>
    </row>
    <row r="23" spans="1:7" x14ac:dyDescent="0.25">
      <c r="A23" s="3">
        <v>22</v>
      </c>
      <c r="B23" s="4">
        <v>202200148</v>
      </c>
      <c r="C23" s="4" t="s">
        <v>91</v>
      </c>
      <c r="D23" s="4" t="s">
        <v>11</v>
      </c>
      <c r="E23" s="5" t="s">
        <v>187</v>
      </c>
      <c r="F23" s="22" t="s">
        <v>179</v>
      </c>
      <c r="G23" s="10">
        <v>400000</v>
      </c>
    </row>
    <row r="24" spans="1:7" x14ac:dyDescent="0.25">
      <c r="A24" s="3">
        <v>23</v>
      </c>
      <c r="B24" s="4">
        <v>202200135</v>
      </c>
      <c r="C24" s="4" t="s">
        <v>93</v>
      </c>
      <c r="D24" s="4" t="s">
        <v>11</v>
      </c>
      <c r="E24" s="6" t="s">
        <v>186</v>
      </c>
      <c r="F24" s="22" t="s">
        <v>181</v>
      </c>
      <c r="G24" s="10"/>
    </row>
    <row r="25" spans="1:7" x14ac:dyDescent="0.25">
      <c r="A25" s="3">
        <v>24</v>
      </c>
      <c r="B25" s="4">
        <v>202200123</v>
      </c>
      <c r="C25" s="4" t="s">
        <v>95</v>
      </c>
      <c r="D25" s="4" t="s">
        <v>11</v>
      </c>
      <c r="E25" s="6" t="s">
        <v>186</v>
      </c>
      <c r="F25" s="22" t="s">
        <v>183</v>
      </c>
      <c r="G25" s="10"/>
    </row>
    <row r="26" spans="1:7" x14ac:dyDescent="0.25">
      <c r="A26" s="3">
        <v>25</v>
      </c>
      <c r="B26" s="4">
        <v>202200118</v>
      </c>
      <c r="C26" s="4" t="s">
        <v>96</v>
      </c>
      <c r="D26" s="4" t="s">
        <v>11</v>
      </c>
      <c r="E26" s="6" t="s">
        <v>186</v>
      </c>
      <c r="F26" s="22" t="s">
        <v>184</v>
      </c>
      <c r="G26" s="10"/>
    </row>
    <row r="27" spans="1:7" x14ac:dyDescent="0.25">
      <c r="A27" s="3">
        <v>26</v>
      </c>
      <c r="B27" s="4">
        <v>202100117</v>
      </c>
      <c r="C27" s="4" t="s">
        <v>97</v>
      </c>
      <c r="D27" s="4" t="s">
        <v>11</v>
      </c>
      <c r="E27" s="6" t="s">
        <v>186</v>
      </c>
      <c r="F27" s="22" t="s">
        <v>185</v>
      </c>
      <c r="G27" s="10"/>
    </row>
    <row r="28" spans="1:7" x14ac:dyDescent="0.25">
      <c r="A28" s="3">
        <v>27</v>
      </c>
      <c r="B28" s="4">
        <v>202200292</v>
      </c>
      <c r="C28" s="4" t="s">
        <v>191</v>
      </c>
      <c r="D28" s="4" t="s">
        <v>11</v>
      </c>
      <c r="E28" s="5" t="s">
        <v>187</v>
      </c>
      <c r="F28" s="22" t="s">
        <v>192</v>
      </c>
      <c r="G28" s="10">
        <v>400000</v>
      </c>
    </row>
    <row r="29" spans="1:7" x14ac:dyDescent="0.25">
      <c r="A29" s="3">
        <v>28</v>
      </c>
      <c r="B29" s="4">
        <v>202200294</v>
      </c>
      <c r="C29" s="4" t="s">
        <v>208</v>
      </c>
      <c r="D29" s="4" t="s">
        <v>11</v>
      </c>
      <c r="E29" s="5" t="s">
        <v>187</v>
      </c>
      <c r="F29" s="22" t="s">
        <v>209</v>
      </c>
      <c r="G29" s="10">
        <v>400000</v>
      </c>
    </row>
    <row r="30" spans="1:7" x14ac:dyDescent="0.25">
      <c r="A30" s="3">
        <v>29</v>
      </c>
      <c r="B30" s="4">
        <v>202200295</v>
      </c>
      <c r="C30" s="4" t="s">
        <v>210</v>
      </c>
      <c r="D30" s="4" t="s">
        <v>11</v>
      </c>
      <c r="E30" s="5" t="s">
        <v>187</v>
      </c>
      <c r="F30" s="24" t="s">
        <v>211</v>
      </c>
      <c r="G30" s="10">
        <v>400000</v>
      </c>
    </row>
    <row r="31" spans="1:7" x14ac:dyDescent="0.25">
      <c r="A31" s="3">
        <v>30</v>
      </c>
      <c r="B31" s="4">
        <v>202200326</v>
      </c>
      <c r="C31" s="4" t="s">
        <v>212</v>
      </c>
      <c r="D31" s="4" t="s">
        <v>11</v>
      </c>
      <c r="E31" s="6" t="s">
        <v>186</v>
      </c>
      <c r="F31" s="27" t="s">
        <v>218</v>
      </c>
      <c r="G31" s="10"/>
    </row>
    <row r="32" spans="1:7" x14ac:dyDescent="0.25">
      <c r="A32" s="3">
        <v>31</v>
      </c>
      <c r="B32" s="4">
        <v>202200325</v>
      </c>
      <c r="C32" s="4" t="s">
        <v>213</v>
      </c>
      <c r="D32" s="4" t="s">
        <v>11</v>
      </c>
      <c r="E32" s="6" t="s">
        <v>186</v>
      </c>
      <c r="F32" s="27" t="s">
        <v>219</v>
      </c>
      <c r="G32" s="10"/>
    </row>
    <row r="33" spans="1:7" x14ac:dyDescent="0.25">
      <c r="A33" s="3">
        <v>32</v>
      </c>
      <c r="B33" s="4">
        <v>202200318</v>
      </c>
      <c r="C33" s="4" t="s">
        <v>214</v>
      </c>
      <c r="D33" s="4" t="s">
        <v>11</v>
      </c>
      <c r="E33" s="5" t="s">
        <v>187</v>
      </c>
      <c r="F33" s="27" t="s">
        <v>220</v>
      </c>
      <c r="G33" s="10">
        <v>400000</v>
      </c>
    </row>
    <row r="34" spans="1:7" x14ac:dyDescent="0.25">
      <c r="A34" s="3">
        <v>33</v>
      </c>
      <c r="B34" s="4">
        <v>202200311</v>
      </c>
      <c r="C34" s="4" t="s">
        <v>215</v>
      </c>
      <c r="D34" s="4" t="s">
        <v>11</v>
      </c>
      <c r="E34" s="5" t="s">
        <v>187</v>
      </c>
      <c r="F34" s="27" t="s">
        <v>221</v>
      </c>
      <c r="G34" s="10">
        <v>400000</v>
      </c>
    </row>
    <row r="35" spans="1:7" x14ac:dyDescent="0.25">
      <c r="A35" s="3">
        <v>34</v>
      </c>
      <c r="B35" s="4">
        <v>202200302</v>
      </c>
      <c r="C35" s="4" t="s">
        <v>216</v>
      </c>
      <c r="D35" s="4" t="s">
        <v>11</v>
      </c>
      <c r="E35" s="6" t="s">
        <v>186</v>
      </c>
      <c r="F35" s="27" t="s">
        <v>222</v>
      </c>
      <c r="G35" s="10"/>
    </row>
    <row r="36" spans="1:7" x14ac:dyDescent="0.25">
      <c r="A36" s="3">
        <v>35</v>
      </c>
      <c r="B36" s="4">
        <v>202200300</v>
      </c>
      <c r="C36" s="4" t="s">
        <v>217</v>
      </c>
      <c r="D36" s="4" t="s">
        <v>11</v>
      </c>
      <c r="E36" s="6" t="s">
        <v>186</v>
      </c>
      <c r="F36" s="27" t="s">
        <v>223</v>
      </c>
      <c r="G36" s="10"/>
    </row>
    <row r="37" spans="1:7" x14ac:dyDescent="0.25">
      <c r="G37" s="18">
        <f>SUM(G2:G36)</f>
        <v>7200000</v>
      </c>
    </row>
    <row r="38" spans="1:7" x14ac:dyDescent="0.25">
      <c r="B38" s="14" t="s">
        <v>187</v>
      </c>
      <c r="C38" s="15" t="s">
        <v>202</v>
      </c>
    </row>
    <row r="39" spans="1:7" x14ac:dyDescent="0.25">
      <c r="B39" s="16" t="s">
        <v>186</v>
      </c>
      <c r="C39" s="15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A2" sqref="A2:A17"/>
    </sheetView>
  </sheetViews>
  <sheetFormatPr defaultRowHeight="15" x14ac:dyDescent="0.25"/>
  <cols>
    <col min="1" max="1" width="4.140625" bestFit="1" customWidth="1"/>
    <col min="2" max="2" width="10" bestFit="1" customWidth="1"/>
    <col min="3" max="3" width="35" bestFit="1" customWidth="1"/>
    <col min="4" max="4" width="34.42578125" bestFit="1" customWidth="1"/>
    <col min="6" max="6" width="14.140625" style="7" bestFit="1" customWidth="1"/>
    <col min="7" max="7" width="13.42578125" style="9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189</v>
      </c>
      <c r="E1" s="2" t="s">
        <v>195</v>
      </c>
      <c r="F1" s="1" t="s">
        <v>190</v>
      </c>
      <c r="G1" s="17" t="s">
        <v>196</v>
      </c>
    </row>
    <row r="2" spans="1:7" x14ac:dyDescent="0.25">
      <c r="A2" s="3">
        <v>1</v>
      </c>
      <c r="B2" s="4">
        <v>202200279</v>
      </c>
      <c r="C2" s="4" t="s">
        <v>15</v>
      </c>
      <c r="D2" s="4" t="s">
        <v>16</v>
      </c>
      <c r="E2" s="6" t="s">
        <v>186</v>
      </c>
      <c r="F2" s="22" t="s">
        <v>106</v>
      </c>
      <c r="G2" s="10"/>
    </row>
    <row r="3" spans="1:7" x14ac:dyDescent="0.25">
      <c r="A3" s="3">
        <v>2</v>
      </c>
      <c r="B3" s="4">
        <v>202200269</v>
      </c>
      <c r="C3" s="4" t="s">
        <v>25</v>
      </c>
      <c r="D3" s="4" t="s">
        <v>16</v>
      </c>
      <c r="E3" s="5" t="s">
        <v>187</v>
      </c>
      <c r="F3" s="22" t="s">
        <v>115</v>
      </c>
      <c r="G3" s="10">
        <v>400000</v>
      </c>
    </row>
    <row r="4" spans="1:7" x14ac:dyDescent="0.25">
      <c r="A4" s="3">
        <v>3</v>
      </c>
      <c r="B4" s="4">
        <v>202200267</v>
      </c>
      <c r="C4" s="4" t="s">
        <v>27</v>
      </c>
      <c r="D4" s="4" t="s">
        <v>16</v>
      </c>
      <c r="E4" s="5" t="s">
        <v>187</v>
      </c>
      <c r="F4" s="22" t="s">
        <v>117</v>
      </c>
      <c r="G4" s="10">
        <v>400000</v>
      </c>
    </row>
    <row r="5" spans="1:7" x14ac:dyDescent="0.25">
      <c r="A5" s="3">
        <v>4</v>
      </c>
      <c r="B5" s="4">
        <v>202200243</v>
      </c>
      <c r="C5" s="4" t="s">
        <v>49</v>
      </c>
      <c r="D5" s="4" t="s">
        <v>16</v>
      </c>
      <c r="E5" s="6" t="s">
        <v>186</v>
      </c>
      <c r="F5" s="22" t="s">
        <v>139</v>
      </c>
      <c r="G5" s="10"/>
    </row>
    <row r="6" spans="1:7" x14ac:dyDescent="0.25">
      <c r="A6" s="3">
        <v>5</v>
      </c>
      <c r="B6" s="4">
        <v>202200231</v>
      </c>
      <c r="C6" s="4" t="s">
        <v>58</v>
      </c>
      <c r="D6" s="4" t="s">
        <v>16</v>
      </c>
      <c r="E6" s="5" t="s">
        <v>187</v>
      </c>
      <c r="F6" s="22" t="s">
        <v>148</v>
      </c>
      <c r="G6" s="10">
        <v>400000</v>
      </c>
    </row>
    <row r="7" spans="1:7" x14ac:dyDescent="0.25">
      <c r="A7" s="3">
        <v>6</v>
      </c>
      <c r="B7" s="4">
        <v>202200222</v>
      </c>
      <c r="C7" s="4" t="s">
        <v>67</v>
      </c>
      <c r="D7" s="4" t="s">
        <v>16</v>
      </c>
      <c r="E7" s="6" t="s">
        <v>186</v>
      </c>
      <c r="F7" s="22" t="s">
        <v>157</v>
      </c>
      <c r="G7" s="10"/>
    </row>
    <row r="8" spans="1:7" x14ac:dyDescent="0.25">
      <c r="A8" s="3">
        <v>7</v>
      </c>
      <c r="B8" s="4">
        <v>202200200</v>
      </c>
      <c r="C8" s="4" t="s">
        <v>81</v>
      </c>
      <c r="D8" s="4" t="s">
        <v>16</v>
      </c>
      <c r="E8" s="6" t="s">
        <v>186</v>
      </c>
      <c r="F8" s="22" t="s">
        <v>169</v>
      </c>
      <c r="G8" s="10"/>
    </row>
    <row r="9" spans="1:7" x14ac:dyDescent="0.25">
      <c r="A9" s="3">
        <v>8</v>
      </c>
      <c r="B9" s="4">
        <v>202200199</v>
      </c>
      <c r="C9" s="4" t="s">
        <v>82</v>
      </c>
      <c r="D9" s="4" t="s">
        <v>16</v>
      </c>
      <c r="E9" s="6" t="s">
        <v>186</v>
      </c>
      <c r="F9" s="22" t="s">
        <v>170</v>
      </c>
      <c r="G9" s="10"/>
    </row>
    <row r="10" spans="1:7" x14ac:dyDescent="0.25">
      <c r="A10" s="3">
        <v>9</v>
      </c>
      <c r="B10" s="4">
        <v>202200198</v>
      </c>
      <c r="C10" s="4" t="s">
        <v>83</v>
      </c>
      <c r="D10" s="4" t="s">
        <v>16</v>
      </c>
      <c r="E10" s="6" t="s">
        <v>186</v>
      </c>
      <c r="F10" s="22" t="s">
        <v>171</v>
      </c>
      <c r="G10" s="10"/>
    </row>
    <row r="11" spans="1:7" x14ac:dyDescent="0.25">
      <c r="A11" s="3">
        <v>10</v>
      </c>
      <c r="B11" s="4">
        <v>202200193</v>
      </c>
      <c r="C11" s="4" t="s">
        <v>85</v>
      </c>
      <c r="D11" s="4" t="s">
        <v>16</v>
      </c>
      <c r="E11" s="6" t="s">
        <v>186</v>
      </c>
      <c r="F11" s="22" t="s">
        <v>173</v>
      </c>
      <c r="G11" s="10"/>
    </row>
    <row r="12" spans="1:7" x14ac:dyDescent="0.25">
      <c r="A12" s="3">
        <v>11</v>
      </c>
      <c r="B12" s="4">
        <v>202200188</v>
      </c>
      <c r="C12" s="4" t="s">
        <v>86</v>
      </c>
      <c r="D12" s="4" t="s">
        <v>16</v>
      </c>
      <c r="E12" s="6" t="s">
        <v>186</v>
      </c>
      <c r="F12" s="22" t="s">
        <v>174</v>
      </c>
      <c r="G12" s="10"/>
    </row>
    <row r="13" spans="1:7" x14ac:dyDescent="0.25">
      <c r="A13" s="3">
        <v>12</v>
      </c>
      <c r="B13" s="4">
        <v>202200182</v>
      </c>
      <c r="C13" s="4" t="s">
        <v>88</v>
      </c>
      <c r="D13" s="4" t="s">
        <v>16</v>
      </c>
      <c r="E13" s="6" t="s">
        <v>186</v>
      </c>
      <c r="F13" s="22" t="s">
        <v>176</v>
      </c>
      <c r="G13" s="10"/>
    </row>
    <row r="14" spans="1:7" x14ac:dyDescent="0.25">
      <c r="A14" s="3">
        <v>13</v>
      </c>
      <c r="B14" s="4">
        <v>202200329</v>
      </c>
      <c r="C14" s="4" t="s">
        <v>236</v>
      </c>
      <c r="D14" s="4" t="s">
        <v>16</v>
      </c>
      <c r="E14" s="5" t="s">
        <v>187</v>
      </c>
      <c r="F14" s="29" t="s">
        <v>240</v>
      </c>
      <c r="G14" s="10">
        <v>400000</v>
      </c>
    </row>
    <row r="15" spans="1:7" x14ac:dyDescent="0.25">
      <c r="A15" s="3">
        <v>14</v>
      </c>
      <c r="B15" s="4">
        <v>202200328</v>
      </c>
      <c r="C15" s="4" t="s">
        <v>237</v>
      </c>
      <c r="D15" s="4" t="s">
        <v>16</v>
      </c>
      <c r="E15" s="6" t="s">
        <v>186</v>
      </c>
      <c r="F15" s="29" t="s">
        <v>241</v>
      </c>
      <c r="G15" s="10"/>
    </row>
    <row r="16" spans="1:7" x14ac:dyDescent="0.25">
      <c r="A16" s="3">
        <v>15</v>
      </c>
      <c r="B16" s="4">
        <v>202200310</v>
      </c>
      <c r="C16" s="4" t="s">
        <v>238</v>
      </c>
      <c r="D16" s="4" t="s">
        <v>16</v>
      </c>
      <c r="E16" s="6" t="s">
        <v>186</v>
      </c>
      <c r="F16" s="29" t="s">
        <v>242</v>
      </c>
      <c r="G16" s="10"/>
    </row>
    <row r="17" spans="1:7" x14ac:dyDescent="0.25">
      <c r="A17" s="3">
        <v>16</v>
      </c>
      <c r="B17" s="4">
        <v>202200303</v>
      </c>
      <c r="C17" s="4" t="s">
        <v>239</v>
      </c>
      <c r="D17" s="4" t="s">
        <v>16</v>
      </c>
      <c r="E17" s="6" t="s">
        <v>186</v>
      </c>
      <c r="F17" s="29" t="s">
        <v>243</v>
      </c>
      <c r="G17" s="10"/>
    </row>
    <row r="18" spans="1:7" x14ac:dyDescent="0.25">
      <c r="A18" s="25"/>
      <c r="B18" s="15"/>
      <c r="C18" s="15"/>
      <c r="D18" s="15"/>
      <c r="E18" s="16"/>
      <c r="F18" s="28"/>
      <c r="G18" s="30">
        <f>SUM(G2:G17)</f>
        <v>1600000</v>
      </c>
    </row>
    <row r="20" spans="1:7" x14ac:dyDescent="0.25">
      <c r="B20" s="14" t="s">
        <v>187</v>
      </c>
      <c r="C20" s="15" t="s">
        <v>202</v>
      </c>
    </row>
    <row r="21" spans="1:7" x14ac:dyDescent="0.25">
      <c r="B21" s="16" t="s">
        <v>186</v>
      </c>
      <c r="C21" s="15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opLeftCell="A28" workbookViewId="0">
      <selection activeCell="I33" sqref="I33"/>
    </sheetView>
  </sheetViews>
  <sheetFormatPr defaultRowHeight="15" x14ac:dyDescent="0.25"/>
  <cols>
    <col min="1" max="1" width="4.140625" bestFit="1" customWidth="1"/>
    <col min="2" max="2" width="10" bestFit="1" customWidth="1"/>
    <col min="3" max="3" width="30.140625" bestFit="1" customWidth="1"/>
    <col min="4" max="4" width="25.85546875" bestFit="1" customWidth="1"/>
    <col min="6" max="6" width="16" style="26" bestFit="1" customWidth="1"/>
    <col min="7" max="7" width="13.42578125" style="9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189</v>
      </c>
      <c r="E1" s="2" t="s">
        <v>195</v>
      </c>
      <c r="F1" s="1" t="s">
        <v>190</v>
      </c>
      <c r="G1" s="17" t="s">
        <v>196</v>
      </c>
    </row>
    <row r="2" spans="1:7" x14ac:dyDescent="0.25">
      <c r="A2" s="3">
        <v>1</v>
      </c>
      <c r="B2" s="4">
        <v>202200301</v>
      </c>
      <c r="C2" s="4" t="s">
        <v>253</v>
      </c>
      <c r="D2" s="4" t="s">
        <v>6</v>
      </c>
      <c r="E2" s="6" t="s">
        <v>186</v>
      </c>
      <c r="F2" s="31" t="s">
        <v>264</v>
      </c>
      <c r="G2" s="4"/>
    </row>
    <row r="3" spans="1:7" x14ac:dyDescent="0.25">
      <c r="A3" s="3">
        <v>2</v>
      </c>
      <c r="B3" s="4">
        <v>202200277</v>
      </c>
      <c r="C3" s="4" t="s">
        <v>18</v>
      </c>
      <c r="D3" s="4" t="s">
        <v>6</v>
      </c>
      <c r="E3" s="6" t="s">
        <v>186</v>
      </c>
      <c r="F3" s="22" t="s">
        <v>108</v>
      </c>
      <c r="G3" s="10"/>
    </row>
    <row r="4" spans="1:7" x14ac:dyDescent="0.25">
      <c r="A4" s="3">
        <v>3</v>
      </c>
      <c r="B4" s="4">
        <v>202200245</v>
      </c>
      <c r="C4" s="4" t="s">
        <v>47</v>
      </c>
      <c r="D4" s="4" t="s">
        <v>6</v>
      </c>
      <c r="E4" s="5" t="s">
        <v>187</v>
      </c>
      <c r="F4" s="22" t="s">
        <v>137</v>
      </c>
      <c r="G4" s="10">
        <v>400000</v>
      </c>
    </row>
    <row r="5" spans="1:7" x14ac:dyDescent="0.25">
      <c r="A5" s="3">
        <v>4</v>
      </c>
      <c r="B5" s="4">
        <v>202200268</v>
      </c>
      <c r="C5" s="4" t="s">
        <v>26</v>
      </c>
      <c r="D5" s="4" t="s">
        <v>6</v>
      </c>
      <c r="E5" s="6" t="s">
        <v>186</v>
      </c>
      <c r="F5" s="22" t="s">
        <v>116</v>
      </c>
      <c r="G5" s="10"/>
    </row>
    <row r="6" spans="1:7" x14ac:dyDescent="0.25">
      <c r="A6" s="3">
        <v>5</v>
      </c>
      <c r="B6" s="4">
        <v>202200293</v>
      </c>
      <c r="C6" s="4" t="s">
        <v>193</v>
      </c>
      <c r="D6" s="4" t="s">
        <v>6</v>
      </c>
      <c r="E6" s="6" t="s">
        <v>186</v>
      </c>
      <c r="F6" s="22" t="s">
        <v>194</v>
      </c>
      <c r="G6" s="10"/>
    </row>
    <row r="7" spans="1:7" x14ac:dyDescent="0.25">
      <c r="A7" s="3">
        <v>6</v>
      </c>
      <c r="B7" s="4">
        <v>202200261</v>
      </c>
      <c r="C7" s="4" t="s">
        <v>31</v>
      </c>
      <c r="D7" s="4" t="s">
        <v>6</v>
      </c>
      <c r="E7" s="6" t="s">
        <v>186</v>
      </c>
      <c r="F7" s="22" t="s">
        <v>121</v>
      </c>
      <c r="G7" s="10"/>
    </row>
    <row r="8" spans="1:7" x14ac:dyDescent="0.25">
      <c r="A8" s="3">
        <v>7</v>
      </c>
      <c r="B8" s="4">
        <v>202200239</v>
      </c>
      <c r="C8" s="4" t="s">
        <v>51</v>
      </c>
      <c r="D8" s="4" t="s">
        <v>6</v>
      </c>
      <c r="E8" s="5" t="s">
        <v>187</v>
      </c>
      <c r="F8" s="22" t="s">
        <v>141</v>
      </c>
      <c r="G8" s="10">
        <v>400000</v>
      </c>
    </row>
    <row r="9" spans="1:7" x14ac:dyDescent="0.25">
      <c r="A9" s="3">
        <v>8</v>
      </c>
      <c r="B9" s="4">
        <v>202200323</v>
      </c>
      <c r="C9" s="4" t="s">
        <v>245</v>
      </c>
      <c r="D9" s="4" t="s">
        <v>6</v>
      </c>
      <c r="E9" s="6" t="s">
        <v>186</v>
      </c>
      <c r="F9" s="31" t="s">
        <v>256</v>
      </c>
      <c r="G9" s="4"/>
    </row>
    <row r="10" spans="1:7" x14ac:dyDescent="0.25">
      <c r="A10" s="3">
        <v>9</v>
      </c>
      <c r="B10" s="4">
        <v>202200253</v>
      </c>
      <c r="C10" s="4" t="s">
        <v>39</v>
      </c>
      <c r="D10" s="4" t="s">
        <v>6</v>
      </c>
      <c r="E10" s="5" t="s">
        <v>187</v>
      </c>
      <c r="F10" s="22" t="s">
        <v>129</v>
      </c>
      <c r="G10" s="10">
        <v>400000</v>
      </c>
    </row>
    <row r="11" spans="1:7" x14ac:dyDescent="0.25">
      <c r="A11" s="3">
        <v>10</v>
      </c>
      <c r="B11" s="4">
        <v>202200266</v>
      </c>
      <c r="C11" s="4" t="s">
        <v>28</v>
      </c>
      <c r="D11" s="4" t="s">
        <v>6</v>
      </c>
      <c r="E11" s="5" t="s">
        <v>187</v>
      </c>
      <c r="F11" s="22" t="s">
        <v>118</v>
      </c>
      <c r="G11" s="10">
        <v>400000</v>
      </c>
    </row>
    <row r="12" spans="1:7" x14ac:dyDescent="0.25">
      <c r="A12" s="3">
        <v>11</v>
      </c>
      <c r="B12" s="4">
        <v>202200233</v>
      </c>
      <c r="C12" s="4" t="s">
        <v>56</v>
      </c>
      <c r="D12" s="4" t="s">
        <v>6</v>
      </c>
      <c r="E12" s="6" t="s">
        <v>186</v>
      </c>
      <c r="F12" s="22" t="s">
        <v>146</v>
      </c>
      <c r="G12" s="10"/>
    </row>
    <row r="13" spans="1:7" x14ac:dyDescent="0.25">
      <c r="A13" s="3">
        <v>12</v>
      </c>
      <c r="B13" s="4">
        <v>202200280</v>
      </c>
      <c r="C13" s="4" t="s">
        <v>14</v>
      </c>
      <c r="D13" s="4" t="s">
        <v>6</v>
      </c>
      <c r="E13" s="6" t="s">
        <v>186</v>
      </c>
      <c r="F13" s="22" t="s">
        <v>105</v>
      </c>
      <c r="G13" s="10"/>
    </row>
    <row r="14" spans="1:7" x14ac:dyDescent="0.25">
      <c r="A14" s="3">
        <v>13</v>
      </c>
      <c r="B14" s="4">
        <v>202200242</v>
      </c>
      <c r="C14" s="4" t="s">
        <v>50</v>
      </c>
      <c r="D14" s="4" t="s">
        <v>6</v>
      </c>
      <c r="E14" s="5" t="s">
        <v>187</v>
      </c>
      <c r="F14" s="22" t="s">
        <v>140</v>
      </c>
      <c r="G14" s="10">
        <v>400000</v>
      </c>
    </row>
    <row r="15" spans="1:7" x14ac:dyDescent="0.25">
      <c r="A15" s="3">
        <v>14</v>
      </c>
      <c r="B15" s="4">
        <v>202200250</v>
      </c>
      <c r="C15" s="4" t="s">
        <v>42</v>
      </c>
      <c r="D15" s="4" t="s">
        <v>6</v>
      </c>
      <c r="E15" s="5" t="s">
        <v>187</v>
      </c>
      <c r="F15" s="22" t="s">
        <v>132</v>
      </c>
      <c r="G15" s="10">
        <v>400000</v>
      </c>
    </row>
    <row r="16" spans="1:7" x14ac:dyDescent="0.25">
      <c r="A16" s="3">
        <v>15</v>
      </c>
      <c r="B16" s="4">
        <v>202200219</v>
      </c>
      <c r="C16" s="4" t="s">
        <v>69</v>
      </c>
      <c r="D16" s="4" t="s">
        <v>6</v>
      </c>
      <c r="E16" s="5" t="s">
        <v>187</v>
      </c>
      <c r="F16" s="22" t="s">
        <v>158</v>
      </c>
      <c r="G16" s="10">
        <v>400000</v>
      </c>
    </row>
    <row r="17" spans="1:7" x14ac:dyDescent="0.25">
      <c r="A17" s="3">
        <v>16</v>
      </c>
      <c r="B17" s="4">
        <v>202200260</v>
      </c>
      <c r="C17" s="4" t="s">
        <v>32</v>
      </c>
      <c r="D17" s="4" t="s">
        <v>6</v>
      </c>
      <c r="E17" s="5" t="s">
        <v>187</v>
      </c>
      <c r="F17" s="22" t="s">
        <v>122</v>
      </c>
      <c r="G17" s="10">
        <v>400000</v>
      </c>
    </row>
    <row r="18" spans="1:7" x14ac:dyDescent="0.25">
      <c r="A18" s="3">
        <v>17</v>
      </c>
      <c r="B18" s="4">
        <v>202200271</v>
      </c>
      <c r="C18" s="4" t="s">
        <v>23</v>
      </c>
      <c r="D18" s="4" t="s">
        <v>6</v>
      </c>
      <c r="E18" s="6" t="s">
        <v>186</v>
      </c>
      <c r="F18" s="22" t="s">
        <v>113</v>
      </c>
      <c r="G18" s="10"/>
    </row>
    <row r="19" spans="1:7" x14ac:dyDescent="0.25">
      <c r="A19" s="3">
        <v>18</v>
      </c>
      <c r="B19" s="4">
        <v>202200321</v>
      </c>
      <c r="C19" s="4" t="s">
        <v>246</v>
      </c>
      <c r="D19" s="4" t="s">
        <v>6</v>
      </c>
      <c r="E19" s="6" t="s">
        <v>186</v>
      </c>
      <c r="F19" s="31" t="s">
        <v>257</v>
      </c>
      <c r="G19" s="4"/>
    </row>
    <row r="20" spans="1:7" x14ac:dyDescent="0.25">
      <c r="A20" s="3">
        <v>19</v>
      </c>
      <c r="B20" s="4">
        <v>202200315</v>
      </c>
      <c r="C20" s="4" t="s">
        <v>249</v>
      </c>
      <c r="D20" s="4" t="s">
        <v>6</v>
      </c>
      <c r="E20" s="6" t="s">
        <v>186</v>
      </c>
      <c r="F20" s="31" t="s">
        <v>260</v>
      </c>
      <c r="G20" s="4"/>
    </row>
    <row r="21" spans="1:7" x14ac:dyDescent="0.25">
      <c r="A21" s="3">
        <v>20</v>
      </c>
      <c r="B21" s="4">
        <v>202200252</v>
      </c>
      <c r="C21" s="4" t="s">
        <v>40</v>
      </c>
      <c r="D21" s="4" t="s">
        <v>6</v>
      </c>
      <c r="E21" s="5" t="s">
        <v>187</v>
      </c>
      <c r="F21" s="22" t="s">
        <v>130</v>
      </c>
      <c r="G21" s="10">
        <v>400000</v>
      </c>
    </row>
    <row r="22" spans="1:7" x14ac:dyDescent="0.25">
      <c r="A22" s="3">
        <v>21</v>
      </c>
      <c r="B22" s="4">
        <v>202200276</v>
      </c>
      <c r="C22" s="4" t="s">
        <v>19</v>
      </c>
      <c r="D22" s="4" t="s">
        <v>6</v>
      </c>
      <c r="E22" s="5" t="s">
        <v>187</v>
      </c>
      <c r="F22" s="22" t="s">
        <v>109</v>
      </c>
      <c r="G22" s="10">
        <v>400000</v>
      </c>
    </row>
    <row r="23" spans="1:7" x14ac:dyDescent="0.25">
      <c r="A23" s="3">
        <v>22</v>
      </c>
      <c r="B23" s="4">
        <v>202200317</v>
      </c>
      <c r="C23" s="4" t="s">
        <v>247</v>
      </c>
      <c r="D23" s="4" t="s">
        <v>6</v>
      </c>
      <c r="E23" s="5" t="s">
        <v>187</v>
      </c>
      <c r="F23" s="31" t="s">
        <v>258</v>
      </c>
      <c r="G23" s="10">
        <v>400000</v>
      </c>
    </row>
    <row r="24" spans="1:7" x14ac:dyDescent="0.25">
      <c r="A24" s="3">
        <v>23</v>
      </c>
      <c r="B24" s="4">
        <v>202200309</v>
      </c>
      <c r="C24" s="4" t="s">
        <v>250</v>
      </c>
      <c r="D24" s="4" t="s">
        <v>6</v>
      </c>
      <c r="E24" s="6" t="s">
        <v>186</v>
      </c>
      <c r="F24" s="31" t="s">
        <v>261</v>
      </c>
      <c r="G24" s="4"/>
    </row>
    <row r="25" spans="1:7" x14ac:dyDescent="0.25">
      <c r="A25" s="3">
        <v>24</v>
      </c>
      <c r="B25" s="4">
        <v>202200297</v>
      </c>
      <c r="C25" s="4" t="s">
        <v>254</v>
      </c>
      <c r="D25" s="4" t="s">
        <v>6</v>
      </c>
      <c r="E25" s="6" t="s">
        <v>186</v>
      </c>
      <c r="F25" s="31" t="s">
        <v>265</v>
      </c>
      <c r="G25" s="4"/>
    </row>
    <row r="26" spans="1:7" x14ac:dyDescent="0.25">
      <c r="A26" s="3">
        <v>25</v>
      </c>
      <c r="B26" s="4">
        <v>202200305</v>
      </c>
      <c r="C26" s="4" t="s">
        <v>252</v>
      </c>
      <c r="D26" s="4" t="s">
        <v>6</v>
      </c>
      <c r="E26" s="6" t="s">
        <v>186</v>
      </c>
      <c r="F26" s="31" t="s">
        <v>263</v>
      </c>
      <c r="G26" s="4"/>
    </row>
    <row r="27" spans="1:7" x14ac:dyDescent="0.25">
      <c r="A27" s="3">
        <v>26</v>
      </c>
      <c r="B27" s="4">
        <v>202200307</v>
      </c>
      <c r="C27" s="4" t="s">
        <v>251</v>
      </c>
      <c r="D27" s="4" t="s">
        <v>6</v>
      </c>
      <c r="E27" s="6" t="s">
        <v>186</v>
      </c>
      <c r="F27" s="31" t="s">
        <v>262</v>
      </c>
      <c r="G27" s="4"/>
    </row>
    <row r="28" spans="1:7" x14ac:dyDescent="0.25">
      <c r="A28" s="3">
        <v>27</v>
      </c>
      <c r="B28" s="19">
        <v>202200134</v>
      </c>
      <c r="C28" s="19" t="s">
        <v>90</v>
      </c>
      <c r="D28" s="19" t="s">
        <v>6</v>
      </c>
      <c r="E28" s="20" t="s">
        <v>186</v>
      </c>
      <c r="F28" s="23" t="s">
        <v>178</v>
      </c>
      <c r="G28" s="10"/>
    </row>
    <row r="29" spans="1:7" x14ac:dyDescent="0.25">
      <c r="A29" s="3">
        <v>28</v>
      </c>
      <c r="B29" s="4">
        <v>202200124</v>
      </c>
      <c r="C29" s="4" t="s">
        <v>94</v>
      </c>
      <c r="D29" s="4" t="s">
        <v>6</v>
      </c>
      <c r="E29" s="6" t="s">
        <v>186</v>
      </c>
      <c r="F29" s="22" t="s">
        <v>182</v>
      </c>
      <c r="G29" s="10"/>
    </row>
    <row r="30" spans="1:7" x14ac:dyDescent="0.25">
      <c r="A30" s="3">
        <v>29</v>
      </c>
      <c r="B30" s="4">
        <v>202200289</v>
      </c>
      <c r="C30" s="4" t="s">
        <v>7</v>
      </c>
      <c r="D30" s="4" t="s">
        <v>6</v>
      </c>
      <c r="E30" s="6" t="s">
        <v>186</v>
      </c>
      <c r="F30" s="22" t="s">
        <v>100</v>
      </c>
      <c r="G30" s="10"/>
    </row>
    <row r="31" spans="1:7" x14ac:dyDescent="0.25">
      <c r="A31" s="3">
        <v>30</v>
      </c>
      <c r="B31" s="4">
        <v>202200259</v>
      </c>
      <c r="C31" s="4" t="s">
        <v>33</v>
      </c>
      <c r="D31" s="4" t="s">
        <v>6</v>
      </c>
      <c r="E31" s="5" t="s">
        <v>187</v>
      </c>
      <c r="F31" s="22" t="s">
        <v>123</v>
      </c>
      <c r="G31" s="10">
        <v>400000</v>
      </c>
    </row>
    <row r="32" spans="1:7" x14ac:dyDescent="0.25">
      <c r="A32" s="3">
        <v>31</v>
      </c>
      <c r="B32" s="4">
        <v>202200238</v>
      </c>
      <c r="C32" s="4" t="s">
        <v>52</v>
      </c>
      <c r="D32" s="4" t="s">
        <v>6</v>
      </c>
      <c r="E32" s="6" t="s">
        <v>186</v>
      </c>
      <c r="F32" s="22" t="s">
        <v>142</v>
      </c>
      <c r="G32" s="10"/>
    </row>
    <row r="33" spans="1:7" x14ac:dyDescent="0.25">
      <c r="A33" s="3">
        <v>32</v>
      </c>
      <c r="B33" s="4">
        <v>202200324</v>
      </c>
      <c r="C33" s="4" t="s">
        <v>244</v>
      </c>
      <c r="D33" s="4" t="s">
        <v>6</v>
      </c>
      <c r="E33" s="5" t="s">
        <v>187</v>
      </c>
      <c r="F33" s="31" t="s">
        <v>255</v>
      </c>
      <c r="G33" s="10">
        <v>400000</v>
      </c>
    </row>
    <row r="34" spans="1:7" x14ac:dyDescent="0.25">
      <c r="A34" s="3">
        <v>33</v>
      </c>
      <c r="B34" s="4">
        <v>202200220</v>
      </c>
      <c r="C34" s="4" t="s">
        <v>68</v>
      </c>
      <c r="D34" s="4" t="s">
        <v>6</v>
      </c>
      <c r="E34" s="5" t="s">
        <v>187</v>
      </c>
      <c r="F34" s="22" t="s">
        <v>188</v>
      </c>
      <c r="G34" s="10">
        <v>400000</v>
      </c>
    </row>
    <row r="35" spans="1:7" x14ac:dyDescent="0.25">
      <c r="A35" s="3">
        <v>34</v>
      </c>
      <c r="B35" s="4">
        <v>202200256</v>
      </c>
      <c r="C35" s="4" t="s">
        <v>36</v>
      </c>
      <c r="D35" s="4" t="s">
        <v>6</v>
      </c>
      <c r="E35" s="5" t="s">
        <v>187</v>
      </c>
      <c r="F35" s="22" t="s">
        <v>126</v>
      </c>
      <c r="G35" s="10">
        <v>400000</v>
      </c>
    </row>
    <row r="36" spans="1:7" x14ac:dyDescent="0.25">
      <c r="A36" s="3">
        <v>35</v>
      </c>
      <c r="B36" s="4">
        <v>202200187</v>
      </c>
      <c r="C36" s="4" t="s">
        <v>87</v>
      </c>
      <c r="D36" s="4" t="s">
        <v>6</v>
      </c>
      <c r="E36" s="6" t="s">
        <v>186</v>
      </c>
      <c r="F36" s="22" t="s">
        <v>175</v>
      </c>
      <c r="G36" s="10"/>
    </row>
    <row r="37" spans="1:7" x14ac:dyDescent="0.25">
      <c r="A37" s="3">
        <v>36</v>
      </c>
      <c r="B37" s="4">
        <v>202200258</v>
      </c>
      <c r="C37" s="4" t="s">
        <v>34</v>
      </c>
      <c r="D37" s="4" t="s">
        <v>6</v>
      </c>
      <c r="E37" s="5" t="s">
        <v>187</v>
      </c>
      <c r="F37" s="22" t="s">
        <v>124</v>
      </c>
      <c r="G37" s="10">
        <v>400000</v>
      </c>
    </row>
    <row r="38" spans="1:7" x14ac:dyDescent="0.25">
      <c r="A38" s="3">
        <v>37</v>
      </c>
      <c r="B38" s="4">
        <v>202200257</v>
      </c>
      <c r="C38" s="4" t="s">
        <v>35</v>
      </c>
      <c r="D38" s="4" t="s">
        <v>6</v>
      </c>
      <c r="E38" s="5" t="s">
        <v>187</v>
      </c>
      <c r="F38" s="22" t="s">
        <v>125</v>
      </c>
      <c r="G38" s="10">
        <v>400000</v>
      </c>
    </row>
    <row r="39" spans="1:7" x14ac:dyDescent="0.25">
      <c r="A39" s="3">
        <v>38</v>
      </c>
      <c r="B39" s="4">
        <v>202200209</v>
      </c>
      <c r="C39" s="4" t="s">
        <v>78</v>
      </c>
      <c r="D39" s="4" t="s">
        <v>6</v>
      </c>
      <c r="E39" s="5" t="s">
        <v>187</v>
      </c>
      <c r="F39" s="22" t="s">
        <v>166</v>
      </c>
      <c r="G39" s="10">
        <v>400000</v>
      </c>
    </row>
    <row r="40" spans="1:7" x14ac:dyDescent="0.25">
      <c r="A40" s="3">
        <v>39</v>
      </c>
      <c r="B40" s="4">
        <v>202200290</v>
      </c>
      <c r="C40" s="4" t="s">
        <v>5</v>
      </c>
      <c r="D40" s="4" t="s">
        <v>6</v>
      </c>
      <c r="E40" s="5" t="s">
        <v>187</v>
      </c>
      <c r="F40" s="22" t="s">
        <v>99</v>
      </c>
      <c r="G40" s="10">
        <v>400000</v>
      </c>
    </row>
    <row r="41" spans="1:7" x14ac:dyDescent="0.25">
      <c r="A41" s="3">
        <v>40</v>
      </c>
      <c r="B41" s="4">
        <v>202200206</v>
      </c>
      <c r="C41" s="4" t="s">
        <v>80</v>
      </c>
      <c r="D41" s="4" t="s">
        <v>6</v>
      </c>
      <c r="E41" s="5" t="s">
        <v>187</v>
      </c>
      <c r="F41" s="22" t="s">
        <v>168</v>
      </c>
      <c r="G41" s="10">
        <v>400000</v>
      </c>
    </row>
    <row r="42" spans="1:7" x14ac:dyDescent="0.25">
      <c r="A42" s="3">
        <v>41</v>
      </c>
      <c r="B42" s="4">
        <v>202200316</v>
      </c>
      <c r="C42" s="4" t="s">
        <v>248</v>
      </c>
      <c r="D42" s="4" t="s">
        <v>6</v>
      </c>
      <c r="E42" s="6" t="s">
        <v>186</v>
      </c>
      <c r="F42" s="31" t="s">
        <v>259</v>
      </c>
      <c r="G42" s="4"/>
    </row>
    <row r="43" spans="1:7" x14ac:dyDescent="0.25">
      <c r="A43" s="3">
        <v>42</v>
      </c>
      <c r="B43" s="4">
        <v>202200228</v>
      </c>
      <c r="C43" s="4" t="s">
        <v>61</v>
      </c>
      <c r="D43" s="4" t="s">
        <v>6</v>
      </c>
      <c r="E43" s="6" t="s">
        <v>186</v>
      </c>
      <c r="F43" s="31" t="s">
        <v>152</v>
      </c>
      <c r="G43" s="10"/>
    </row>
    <row r="44" spans="1:7" x14ac:dyDescent="0.25">
      <c r="G44" s="18">
        <f>SUM(G2:G43)</f>
        <v>8000000</v>
      </c>
    </row>
    <row r="46" spans="1:7" x14ac:dyDescent="0.25">
      <c r="B46" s="14" t="s">
        <v>187</v>
      </c>
      <c r="C46" s="15" t="s">
        <v>202</v>
      </c>
    </row>
    <row r="47" spans="1:7" x14ac:dyDescent="0.25">
      <c r="B47" s="16" t="s">
        <v>186</v>
      </c>
      <c r="C47" s="15" t="s">
        <v>203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opLeftCell="A4" workbookViewId="0">
      <selection activeCell="J15" sqref="J15"/>
    </sheetView>
  </sheetViews>
  <sheetFormatPr defaultRowHeight="15" x14ac:dyDescent="0.25"/>
  <cols>
    <col min="1" max="1" width="4.140625" bestFit="1" customWidth="1"/>
    <col min="2" max="2" width="10" bestFit="1" customWidth="1"/>
    <col min="3" max="3" width="25" bestFit="1" customWidth="1"/>
    <col min="4" max="4" width="33.140625" bestFit="1" customWidth="1"/>
    <col min="6" max="6" width="15.140625" bestFit="1" customWidth="1"/>
    <col min="7" max="7" width="13.42578125" style="9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189</v>
      </c>
      <c r="E1" s="2" t="s">
        <v>195</v>
      </c>
      <c r="F1" s="1" t="s">
        <v>190</v>
      </c>
      <c r="G1" s="17" t="s">
        <v>196</v>
      </c>
    </row>
    <row r="2" spans="1:7" x14ac:dyDescent="0.25">
      <c r="A2" s="3">
        <v>1</v>
      </c>
      <c r="B2" s="4">
        <v>202200174</v>
      </c>
      <c r="C2" s="4" t="s">
        <v>89</v>
      </c>
      <c r="D2" s="4" t="s">
        <v>8</v>
      </c>
      <c r="E2" s="6" t="s">
        <v>186</v>
      </c>
      <c r="F2" s="22" t="s">
        <v>177</v>
      </c>
      <c r="G2" s="10"/>
    </row>
    <row r="3" spans="1:7" x14ac:dyDescent="0.25">
      <c r="A3" s="3">
        <v>2</v>
      </c>
      <c r="B3" s="4">
        <v>202200287</v>
      </c>
      <c r="C3" s="4" t="s">
        <v>9</v>
      </c>
      <c r="D3" s="4" t="s">
        <v>8</v>
      </c>
      <c r="E3" s="6" t="s">
        <v>186</v>
      </c>
      <c r="F3" s="22" t="s">
        <v>102</v>
      </c>
      <c r="G3" s="10"/>
    </row>
    <row r="4" spans="1:7" x14ac:dyDescent="0.25">
      <c r="A4" s="3">
        <v>3</v>
      </c>
      <c r="B4" s="4">
        <v>202200181</v>
      </c>
      <c r="C4" s="4" t="s">
        <v>83</v>
      </c>
      <c r="D4" s="4" t="s">
        <v>8</v>
      </c>
      <c r="E4" s="6" t="s">
        <v>186</v>
      </c>
      <c r="F4" s="22" t="s">
        <v>171</v>
      </c>
      <c r="G4" s="10"/>
    </row>
    <row r="5" spans="1:7" x14ac:dyDescent="0.25">
      <c r="A5" s="3">
        <v>4</v>
      </c>
      <c r="B5" s="4">
        <v>202200251</v>
      </c>
      <c r="C5" s="4" t="s">
        <v>41</v>
      </c>
      <c r="D5" s="4" t="s">
        <v>8</v>
      </c>
      <c r="E5" s="5" t="s">
        <v>187</v>
      </c>
      <c r="F5" s="22" t="s">
        <v>131</v>
      </c>
      <c r="G5" s="10">
        <v>400000</v>
      </c>
    </row>
    <row r="6" spans="1:7" x14ac:dyDescent="0.25">
      <c r="A6" s="3">
        <v>5</v>
      </c>
      <c r="B6" s="34">
        <v>202200228</v>
      </c>
      <c r="C6" s="34" t="s">
        <v>61</v>
      </c>
      <c r="D6" s="34" t="s">
        <v>8</v>
      </c>
      <c r="E6" s="6" t="s">
        <v>186</v>
      </c>
      <c r="F6" s="35" t="s">
        <v>152</v>
      </c>
      <c r="G6" s="36"/>
    </row>
    <row r="7" spans="1:7" x14ac:dyDescent="0.25">
      <c r="A7" s="3">
        <v>6</v>
      </c>
      <c r="B7" s="4">
        <v>202200225</v>
      </c>
      <c r="C7" s="4" t="s">
        <v>64</v>
      </c>
      <c r="D7" s="4" t="s">
        <v>8</v>
      </c>
      <c r="E7" s="5" t="s">
        <v>187</v>
      </c>
      <c r="F7" s="22" t="s">
        <v>154</v>
      </c>
      <c r="G7" s="10">
        <v>400000</v>
      </c>
    </row>
    <row r="8" spans="1:7" x14ac:dyDescent="0.25">
      <c r="A8" s="3">
        <v>7</v>
      </c>
      <c r="B8" s="4">
        <v>202200288</v>
      </c>
      <c r="C8" s="4" t="s">
        <v>207</v>
      </c>
      <c r="D8" s="4" t="s">
        <v>8</v>
      </c>
      <c r="E8" s="5" t="s">
        <v>187</v>
      </c>
      <c r="F8" s="22" t="s">
        <v>101</v>
      </c>
      <c r="G8" s="10">
        <v>400000</v>
      </c>
    </row>
    <row r="9" spans="1:7" x14ac:dyDescent="0.25">
      <c r="A9" s="3">
        <v>8</v>
      </c>
      <c r="B9" s="4">
        <v>202200254</v>
      </c>
      <c r="C9" s="4" t="s">
        <v>38</v>
      </c>
      <c r="D9" s="4" t="s">
        <v>8</v>
      </c>
      <c r="E9" s="5" t="s">
        <v>187</v>
      </c>
      <c r="F9" s="22" t="s">
        <v>128</v>
      </c>
      <c r="G9" s="10">
        <v>400000</v>
      </c>
    </row>
    <row r="10" spans="1:7" x14ac:dyDescent="0.25">
      <c r="A10" s="3">
        <v>9</v>
      </c>
      <c r="B10" s="4">
        <v>202200283</v>
      </c>
      <c r="C10" s="4" t="s">
        <v>13</v>
      </c>
      <c r="D10" s="4" t="s">
        <v>8</v>
      </c>
      <c r="E10" s="6" t="s">
        <v>186</v>
      </c>
      <c r="F10" s="22" t="s">
        <v>104</v>
      </c>
      <c r="G10" s="10"/>
    </row>
    <row r="11" spans="1:7" x14ac:dyDescent="0.25">
      <c r="A11" s="3">
        <v>10</v>
      </c>
      <c r="B11" s="4">
        <v>202200211</v>
      </c>
      <c r="C11" s="4" t="s">
        <v>76</v>
      </c>
      <c r="D11" s="4" t="s">
        <v>8</v>
      </c>
      <c r="E11" s="5" t="s">
        <v>187</v>
      </c>
      <c r="F11" s="22" t="s">
        <v>197</v>
      </c>
      <c r="G11" s="10">
        <v>400000</v>
      </c>
    </row>
    <row r="12" spans="1:7" x14ac:dyDescent="0.25">
      <c r="A12" s="3">
        <v>11</v>
      </c>
      <c r="B12" s="4">
        <v>202200136</v>
      </c>
      <c r="C12" s="4" t="s">
        <v>92</v>
      </c>
      <c r="D12" s="4" t="s">
        <v>8</v>
      </c>
      <c r="E12" s="6" t="s">
        <v>186</v>
      </c>
      <c r="F12" s="22" t="s">
        <v>180</v>
      </c>
      <c r="G12" s="10"/>
    </row>
    <row r="13" spans="1:7" x14ac:dyDescent="0.25">
      <c r="A13" s="3">
        <v>12</v>
      </c>
      <c r="B13" s="34">
        <v>202200210</v>
      </c>
      <c r="C13" s="34" t="s">
        <v>77</v>
      </c>
      <c r="D13" s="34" t="s">
        <v>8</v>
      </c>
      <c r="E13" s="5" t="s">
        <v>187</v>
      </c>
      <c r="F13" s="35" t="s">
        <v>165</v>
      </c>
      <c r="G13" s="36">
        <v>400000</v>
      </c>
    </row>
    <row r="14" spans="1:7" x14ac:dyDescent="0.25">
      <c r="A14" s="3">
        <v>13</v>
      </c>
      <c r="B14" s="32">
        <v>202200313</v>
      </c>
      <c r="C14" s="32" t="s">
        <v>267</v>
      </c>
      <c r="D14" s="32" t="s">
        <v>8</v>
      </c>
      <c r="E14" s="6" t="s">
        <v>186</v>
      </c>
      <c r="F14" s="37">
        <v>85213516320</v>
      </c>
      <c r="G14" s="33"/>
    </row>
    <row r="15" spans="1:7" x14ac:dyDescent="0.25">
      <c r="A15" s="3">
        <v>14</v>
      </c>
      <c r="B15" s="32">
        <v>202200308</v>
      </c>
      <c r="C15" s="32" t="s">
        <v>268</v>
      </c>
      <c r="D15" s="32" t="s">
        <v>8</v>
      </c>
      <c r="E15" s="6" t="s">
        <v>186</v>
      </c>
      <c r="F15" s="37">
        <v>81223098715</v>
      </c>
      <c r="G15" s="33"/>
    </row>
    <row r="16" spans="1:7" x14ac:dyDescent="0.25">
      <c r="A16" s="3">
        <v>15</v>
      </c>
      <c r="B16" s="32">
        <v>202200304</v>
      </c>
      <c r="C16" s="32" t="s">
        <v>269</v>
      </c>
      <c r="D16" s="38" t="s">
        <v>8</v>
      </c>
      <c r="E16" s="39" t="s">
        <v>186</v>
      </c>
      <c r="F16" s="37">
        <v>85722435977</v>
      </c>
      <c r="G16" s="40"/>
    </row>
    <row r="17" spans="1:7" x14ac:dyDescent="0.25">
      <c r="A17" s="3">
        <v>16</v>
      </c>
      <c r="B17" s="32">
        <v>202200327</v>
      </c>
      <c r="C17" s="32" t="s">
        <v>266</v>
      </c>
      <c r="D17" s="32" t="s">
        <v>8</v>
      </c>
      <c r="E17" s="6" t="s">
        <v>186</v>
      </c>
      <c r="F17" s="41">
        <v>83825724054</v>
      </c>
      <c r="G17" s="33"/>
    </row>
    <row r="19" spans="1:7" x14ac:dyDescent="0.25">
      <c r="G19" s="18">
        <f>SUM(G2:G18)</f>
        <v>2400000</v>
      </c>
    </row>
  </sheetData>
  <sortState ref="B2:G14">
    <sortCondition ref="C2:C1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2"/>
  <sheetViews>
    <sheetView tabSelected="1" workbookViewId="0">
      <selection activeCell="I10" sqref="I10"/>
    </sheetView>
  </sheetViews>
  <sheetFormatPr defaultRowHeight="15" x14ac:dyDescent="0.25"/>
  <cols>
    <col min="1" max="1" width="4.140625" style="11" bestFit="1" customWidth="1"/>
    <col min="2" max="2" width="8.85546875" style="11" customWidth="1"/>
    <col min="3" max="3" width="34.42578125" bestFit="1" customWidth="1"/>
    <col min="4" max="4" width="9.140625" style="11"/>
    <col min="5" max="5" width="10.28515625" style="11" customWidth="1"/>
    <col min="6" max="6" width="14" style="11" bestFit="1" customWidth="1"/>
    <col min="7" max="7" width="13.85546875" style="11" bestFit="1" customWidth="1"/>
    <col min="8" max="8" width="16.7109375" customWidth="1"/>
  </cols>
  <sheetData>
    <row r="3" spans="1:7" x14ac:dyDescent="0.25">
      <c r="A3" s="3" t="s">
        <v>0</v>
      </c>
      <c r="B3" s="3" t="s">
        <v>198</v>
      </c>
      <c r="C3" s="3" t="s">
        <v>201</v>
      </c>
      <c r="D3" s="3" t="s">
        <v>199</v>
      </c>
      <c r="E3" s="8" t="s">
        <v>200</v>
      </c>
      <c r="F3" s="12" t="s">
        <v>206</v>
      </c>
      <c r="G3" s="13" t="s">
        <v>205</v>
      </c>
    </row>
    <row r="4" spans="1:7" x14ac:dyDescent="0.25">
      <c r="A4" s="3">
        <v>1</v>
      </c>
      <c r="B4" s="3">
        <v>202101</v>
      </c>
      <c r="C4" s="4" t="s">
        <v>11</v>
      </c>
      <c r="D4" s="3">
        <v>100</v>
      </c>
      <c r="E4" s="3">
        <v>35</v>
      </c>
      <c r="F4" s="3">
        <v>18</v>
      </c>
      <c r="G4" s="3">
        <f>E4-F4</f>
        <v>17</v>
      </c>
    </row>
    <row r="5" spans="1:7" x14ac:dyDescent="0.25">
      <c r="A5" s="3">
        <v>2</v>
      </c>
      <c r="B5" s="3">
        <v>202102</v>
      </c>
      <c r="C5" s="4" t="s">
        <v>16</v>
      </c>
      <c r="D5" s="3">
        <v>100</v>
      </c>
      <c r="E5" s="3">
        <v>16</v>
      </c>
      <c r="F5" s="3">
        <v>4</v>
      </c>
      <c r="G5" s="3">
        <f>E5-F5</f>
        <v>12</v>
      </c>
    </row>
    <row r="6" spans="1:7" x14ac:dyDescent="0.25">
      <c r="A6" s="3">
        <v>3</v>
      </c>
      <c r="B6" s="3">
        <v>202103</v>
      </c>
      <c r="C6" s="4" t="s">
        <v>6</v>
      </c>
      <c r="D6" s="3">
        <v>300</v>
      </c>
      <c r="E6" s="3">
        <v>42</v>
      </c>
      <c r="F6" s="3">
        <v>22</v>
      </c>
      <c r="G6" s="3">
        <f>E6-F6</f>
        <v>20</v>
      </c>
    </row>
    <row r="7" spans="1:7" x14ac:dyDescent="0.25">
      <c r="A7" s="3">
        <v>4</v>
      </c>
      <c r="B7" s="3">
        <v>202104</v>
      </c>
      <c r="C7" s="4" t="s">
        <v>8</v>
      </c>
      <c r="D7" s="3">
        <v>100</v>
      </c>
      <c r="E7" s="3">
        <v>16</v>
      </c>
      <c r="F7" s="3">
        <v>6</v>
      </c>
      <c r="G7" s="3">
        <f>E7-F7</f>
        <v>10</v>
      </c>
    </row>
    <row r="8" spans="1:7" x14ac:dyDescent="0.25">
      <c r="A8" s="3">
        <v>5</v>
      </c>
      <c r="B8" s="3">
        <v>202105</v>
      </c>
      <c r="C8" s="4" t="s">
        <v>4</v>
      </c>
      <c r="D8" s="3">
        <v>100</v>
      </c>
      <c r="E8" s="3">
        <v>19</v>
      </c>
      <c r="F8" s="3">
        <v>8</v>
      </c>
      <c r="G8" s="3">
        <f>E8-F8</f>
        <v>11</v>
      </c>
    </row>
    <row r="10" spans="1:7" x14ac:dyDescent="0.25">
      <c r="E10" s="3">
        <f>E4+E5+E6+E7+E8</f>
        <v>128</v>
      </c>
      <c r="F10" s="3">
        <f>F8+F7+F6+F5+F4</f>
        <v>58</v>
      </c>
      <c r="G10" s="3">
        <f>G8+G7+G6+G5+G4</f>
        <v>70</v>
      </c>
    </row>
    <row r="12" spans="1:7" x14ac:dyDescent="0.25">
      <c r="E12" s="11" t="s">
        <v>204</v>
      </c>
      <c r="F12" s="21">
        <f>PIAUD!G19+PAI!G44+KPI!G18+IQT!G37+EKS!G21</f>
        <v>22400000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EKS</vt:lpstr>
      <vt:lpstr>IQT</vt:lpstr>
      <vt:lpstr>KPI</vt:lpstr>
      <vt:lpstr>PAI</vt:lpstr>
      <vt:lpstr>PIAUD</vt:lpstr>
      <vt:lpstr>All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Ingat Waktu Sholat</dc:creator>
  <cp:lastModifiedBy>zaki</cp:lastModifiedBy>
  <dcterms:created xsi:type="dcterms:W3CDTF">2022-04-19T00:43:20Z</dcterms:created>
  <dcterms:modified xsi:type="dcterms:W3CDTF">2022-05-14T01:53:16Z</dcterms:modified>
</cp:coreProperties>
</file>
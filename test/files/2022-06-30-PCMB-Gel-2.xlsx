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1490" windowHeight="4650"/>
  </bookViews>
  <sheets>
    <sheet name="EKS" sheetId="2" r:id="rId1"/>
    <sheet name="IQT" sheetId="3" r:id="rId2"/>
    <sheet name="KPI" sheetId="4" r:id="rId3"/>
    <sheet name="PAI" sheetId="5" r:id="rId4"/>
    <sheet name="PIAUD" sheetId="6" r:id="rId5"/>
    <sheet name="All" sheetId="7" r:id="rId6"/>
  </sheets>
  <calcPr calcId="144525"/>
</workbook>
</file>

<file path=xl/calcChain.xml><?xml version="1.0" encoding="utf-8"?>
<calcChain xmlns="http://schemas.openxmlformats.org/spreadsheetml/2006/main">
  <c r="E32" i="7" l="1"/>
  <c r="F32" i="7"/>
  <c r="G32" i="7"/>
  <c r="G16" i="7"/>
  <c r="G7" i="7"/>
  <c r="G8" i="7"/>
  <c r="F21" i="7"/>
  <c r="E21" i="7"/>
  <c r="G18" i="7"/>
  <c r="G21" i="7" l="1"/>
  <c r="G4" i="7"/>
  <c r="G5" i="7"/>
  <c r="G6" i="7"/>
  <c r="F10" i="7"/>
  <c r="E10" i="7"/>
  <c r="G10" i="7" l="1"/>
</calcChain>
</file>

<file path=xl/sharedStrings.xml><?xml version="1.0" encoding="utf-8"?>
<sst xmlns="http://schemas.openxmlformats.org/spreadsheetml/2006/main" count="305" uniqueCount="141">
  <si>
    <t>No.</t>
  </si>
  <si>
    <t>Nomor</t>
  </si>
  <si>
    <t>Nama</t>
  </si>
  <si>
    <t>EKONOMI SYARIAH</t>
  </si>
  <si>
    <t>PENDIDIKAN AGAMA ISLAM</t>
  </si>
  <si>
    <t>PENDIDIKAN ISLAM ANAK USIA DINI</t>
  </si>
  <si>
    <t>ILMU AL-QUR`AN DAN TAFSIR</t>
  </si>
  <si>
    <t>KOMUNIKASI DAN PENYIARAN ISLAM</t>
  </si>
  <si>
    <t>085944288629</t>
  </si>
  <si>
    <t>O</t>
  </si>
  <si>
    <r>
      <t> </t>
    </r>
    <r>
      <rPr>
        <b/>
        <sz val="11"/>
        <color rgb="FF00B050"/>
        <rFont val="Wingdings 2"/>
        <family val="1"/>
        <charset val="2"/>
      </rPr>
      <t>P</t>
    </r>
  </si>
  <si>
    <t>Program Studi</t>
  </si>
  <si>
    <t>No Kontak</t>
  </si>
  <si>
    <t>Status</t>
  </si>
  <si>
    <t>Kode</t>
  </si>
  <si>
    <t>Tampung</t>
  </si>
  <si>
    <t>Pendaftar</t>
  </si>
  <si>
    <t>Prodi</t>
  </si>
  <si>
    <t>Belum Bayar</t>
  </si>
  <si>
    <t>Sudah Bayar</t>
  </si>
  <si>
    <t>Indri Yani</t>
  </si>
  <si>
    <t>Ravi Avrika</t>
  </si>
  <si>
    <t>Ismi Rohmatun Sholihat</t>
  </si>
  <si>
    <t>0895365172965</t>
  </si>
  <si>
    <t>085727434872</t>
  </si>
  <si>
    <t>081223098715</t>
  </si>
  <si>
    <t>0882000456189</t>
  </si>
  <si>
    <t>081946727429</t>
  </si>
  <si>
    <t>Pilihan</t>
  </si>
  <si>
    <t>Neni Triana</t>
  </si>
  <si>
    <t>Slamet Abdul Gani</t>
  </si>
  <si>
    <t>Asyfa Rizky Maulidina</t>
  </si>
  <si>
    <t>Syaura Ladaina Isma Muis</t>
  </si>
  <si>
    <t>Gilar Agiskara</t>
  </si>
  <si>
    <t>Afnan athaya al-mahfudz</t>
  </si>
  <si>
    <t>Azka Sabilarrahman Zaki</t>
  </si>
  <si>
    <t>Jumatul ramadan</t>
  </si>
  <si>
    <t>Istiqomah Azzahra</t>
  </si>
  <si>
    <t>Tiara Sabti Ahdiani</t>
  </si>
  <si>
    <t>HILMAN JAMILUDIN</t>
  </si>
  <si>
    <t>Tsalitsa Rahma Maulida</t>
  </si>
  <si>
    <t>Haris Budiman</t>
  </si>
  <si>
    <t>Zain Mubarok</t>
  </si>
  <si>
    <t>Arif Firmansyah</t>
  </si>
  <si>
    <t>Fitri Damayanti</t>
  </si>
  <si>
    <t>RESTI RAHAYU</t>
  </si>
  <si>
    <t>Khoerunnisa Putri Prasetyo</t>
  </si>
  <si>
    <t>Azkia Zulfa Robbani</t>
  </si>
  <si>
    <t>Zaki Hildan Shiddiq</t>
  </si>
  <si>
    <t>Winarni shofia salsabila</t>
  </si>
  <si>
    <t>Tasya Aulia R</t>
  </si>
  <si>
    <t>Gilang faturrahman</t>
  </si>
  <si>
    <t>Reza Zaina Muttaqin</t>
  </si>
  <si>
    <t>Amalia Fajrin Nurfitria</t>
  </si>
  <si>
    <t>Rizal Febrian</t>
  </si>
  <si>
    <t>Tresna Laila Nisfah</t>
  </si>
  <si>
    <t>Abdul Razak Amir</t>
  </si>
  <si>
    <t>Fathia nur shafira</t>
  </si>
  <si>
    <t>Amalia Fauziah Rohmah</t>
  </si>
  <si>
    <t>Hubaib ash shidiq</t>
  </si>
  <si>
    <t>ARI IRAWAN</t>
  </si>
  <si>
    <t>Marsha Restianova</t>
  </si>
  <si>
    <t>Linawati</t>
  </si>
  <si>
    <t>Fakhri Mochamad Salman</t>
  </si>
  <si>
    <t>Ahmad Saeful Rohman</t>
  </si>
  <si>
    <t>Yusuf Anwar</t>
  </si>
  <si>
    <t>HANIF SOFIYUDDIN YUSUP</t>
  </si>
  <si>
    <t>Taupan Taupiq Qurohman</t>
  </si>
  <si>
    <t>SALSABILA KHAIRUNISA</t>
  </si>
  <si>
    <t>Lutfi prihandini</t>
  </si>
  <si>
    <t>Salwa Salsabila</t>
  </si>
  <si>
    <t>Alfiyani Nurfazriyah</t>
  </si>
  <si>
    <t>Aulia khoffiyatur rahma budiman</t>
  </si>
  <si>
    <t>Nurul Hikmah</t>
  </si>
  <si>
    <t>Salsabila Luthfiah Khaerunnisa</t>
  </si>
  <si>
    <t>Fitria aisyah nurjamilah</t>
  </si>
  <si>
    <t>Jihan Fatiyyah</t>
  </si>
  <si>
    <t>Irma Raihanah</t>
  </si>
  <si>
    <t>Alfiyyah Fauziyyah</t>
  </si>
  <si>
    <t>SITI NURIYANTI</t>
  </si>
  <si>
    <t>SIGIT HAMDANI</t>
  </si>
  <si>
    <t>Rindi Afriani</t>
  </si>
  <si>
    <t>Muhammad Naufal Zuhdi Alhusaini</t>
  </si>
  <si>
    <t>Andie Al Rasyied</t>
  </si>
  <si>
    <t>RAUDA INDRIYANTI</t>
  </si>
  <si>
    <t>083184341853</t>
  </si>
  <si>
    <t>0895331457106</t>
  </si>
  <si>
    <t>0895323079698</t>
  </si>
  <si>
    <t>088802102048</t>
  </si>
  <si>
    <t>082316788798</t>
  </si>
  <si>
    <t>08812213197</t>
  </si>
  <si>
    <t>087736771766</t>
  </si>
  <si>
    <t>081717441149</t>
  </si>
  <si>
    <t>081324586501</t>
  </si>
  <si>
    <t>0881022379903</t>
  </si>
  <si>
    <t>08986479588</t>
  </si>
  <si>
    <t>085784686693</t>
  </si>
  <si>
    <t>0895343403866</t>
  </si>
  <si>
    <t>085740676475</t>
  </si>
  <si>
    <t>081221549364</t>
  </si>
  <si>
    <t>085926295210</t>
  </si>
  <si>
    <t>083898594949</t>
  </si>
  <si>
    <t>089531505796</t>
  </si>
  <si>
    <t>081217355953</t>
  </si>
  <si>
    <t>0895802436251</t>
  </si>
  <si>
    <t>082117327203</t>
  </si>
  <si>
    <t>08997156831</t>
  </si>
  <si>
    <t>08979973533</t>
  </si>
  <si>
    <t>085795056374</t>
  </si>
  <si>
    <t>085794285018</t>
  </si>
  <si>
    <t>082256106470</t>
  </si>
  <si>
    <t>087822419624</t>
  </si>
  <si>
    <t>082320699614</t>
  </si>
  <si>
    <t>081221062754</t>
  </si>
  <si>
    <t>081221952743</t>
  </si>
  <si>
    <t>089697292140</t>
  </si>
  <si>
    <t>082112816206</t>
  </si>
  <si>
    <t>085956249366</t>
  </si>
  <si>
    <t>082315045324</t>
  </si>
  <si>
    <t>081222627184</t>
  </si>
  <si>
    <t>085162898767</t>
  </si>
  <si>
    <t>085794763054</t>
  </si>
  <si>
    <t>081411092863</t>
  </si>
  <si>
    <t>088224349843</t>
  </si>
  <si>
    <t>085224458273</t>
  </si>
  <si>
    <t>0881023484611</t>
  </si>
  <si>
    <t>088220772511</t>
  </si>
  <si>
    <t>081220388713</t>
  </si>
  <si>
    <t>0895383234064</t>
  </si>
  <si>
    <t>083103780216</t>
  </si>
  <si>
    <t>0895351462666</t>
  </si>
  <si>
    <t>081291017699</t>
  </si>
  <si>
    <t>085723534328</t>
  </si>
  <si>
    <t>083104733142</t>
  </si>
  <si>
    <t>083157137080</t>
  </si>
  <si>
    <t>08988751008</t>
  </si>
  <si>
    <t>085794808579</t>
  </si>
  <si>
    <t>088220701162</t>
  </si>
  <si>
    <t>Gel 1</t>
  </si>
  <si>
    <t>Gel 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</si>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</sst>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Wingdings 2"/>
      <family val="1"/>
      <charset val="2"/>
    </font>
    <font>
      <b/>
      <sz val="11"/>
      <color rgb="FF00B050"/>
      <name val="Calibri"/>
      <family val="2"/>
      <scheme val="minor"/>
    </font>
    <font>
      <b/>
      <sz val="11"/>
      <color rgb="FF00B050"/>
      <name val="Wingdings 2"/>
      <family val="1"/>
      <charset val="2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0" xfId="0" applyNumberFormat="1"/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Font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"/>
  <sheetViews>
    <sheetView tabSelected="1" workbookViewId="0">
      <selection activeCell="E13" sqref="E13"/>
    </sheetView>
  </sheetViews>
  <sheetFormatPr defaultRowHeight="15" x14ac:dyDescent="0.25"/>
  <cols>
    <col min="1" max="1" width="3.5703125" style="8" customWidth="1"/>
    <col min="2" max="2" width="10" bestFit="1" customWidth="1"/>
    <col min="3" max="3" width="32.7109375" bestFit="1" customWidth="1"/>
    <col min="4" max="4" width="18" bestFit="1" customWidth="1"/>
    <col min="6" max="6" width="14.28515625" style="14" customWidth="1"/>
  </cols>
  <sheetData>
    <row r="2" spans="1:6" x14ac:dyDescent="0.25">
      <c r="A2" s="2" t="s">
        <v>0</v>
      </c>
      <c r="B2" s="2" t="s">
        <v>1</v>
      </c>
      <c r="C2" s="2" t="s">
        <v>2</v>
      </c>
      <c r="D2" s="2" t="s">
        <v>11</v>
      </c>
      <c r="E2" s="2" t="s">
        <v>13</v>
      </c>
      <c r="F2" s="1" t="s">
        <v>12</v>
      </c>
    </row>
    <row r="3" spans="1:6" x14ac:dyDescent="0.25">
      <c r="A3" s="20">
        <v>1</v>
      </c>
      <c r="B3" s="21">
        <v>202200495</v>
      </c>
      <c r="C3" s="21" t="s">
        <v>79</v>
      </c>
      <c r="D3" s="21" t="s">
        <v>3</v>
      </c>
      <c r="E3" s="5" t="s">
        <v>10</v>
      </c>
      <c r="F3" s="11" t="s">
        <v>113</v>
      </c>
    </row>
    <row r="4" spans="1:6" x14ac:dyDescent="0.25">
      <c r="A4" s="20">
        <v>2</v>
      </c>
      <c r="B4" s="21">
        <v>202200474</v>
      </c>
      <c r="C4" s="21" t="s">
        <v>80</v>
      </c>
      <c r="D4" s="21" t="s">
        <v>3</v>
      </c>
      <c r="E4" s="5" t="s">
        <v>10</v>
      </c>
      <c r="F4" s="11" t="s">
        <v>114</v>
      </c>
    </row>
    <row r="5" spans="1:6" x14ac:dyDescent="0.25">
      <c r="A5" s="20">
        <v>3</v>
      </c>
      <c r="B5" s="21">
        <v>202200470</v>
      </c>
      <c r="C5" s="21" t="s">
        <v>81</v>
      </c>
      <c r="D5" s="21" t="s">
        <v>3</v>
      </c>
      <c r="E5" s="5" t="s">
        <v>10</v>
      </c>
      <c r="F5" s="11" t="s">
        <v>115</v>
      </c>
    </row>
    <row r="6" spans="1:6" x14ac:dyDescent="0.25">
      <c r="A6" s="20">
        <v>4</v>
      </c>
      <c r="B6" s="21">
        <v>202200467</v>
      </c>
      <c r="C6" s="21" t="s">
        <v>82</v>
      </c>
      <c r="D6" s="21" t="s">
        <v>3</v>
      </c>
      <c r="E6" s="6" t="s">
        <v>9</v>
      </c>
      <c r="F6" s="11" t="s">
        <v>116</v>
      </c>
    </row>
    <row r="7" spans="1:6" x14ac:dyDescent="0.25">
      <c r="A7" s="20">
        <v>5</v>
      </c>
      <c r="B7" s="21">
        <v>202200455</v>
      </c>
      <c r="C7" s="21" t="s">
        <v>83</v>
      </c>
      <c r="D7" s="21" t="s">
        <v>3</v>
      </c>
      <c r="E7" s="6" t="s">
        <v>9</v>
      </c>
      <c r="F7" s="11" t="s">
        <v>117</v>
      </c>
    </row>
    <row r="8" spans="1:6" x14ac:dyDescent="0.25">
      <c r="A8" s="20">
        <v>6</v>
      </c>
      <c r="B8" s="21">
        <v>202200444</v>
      </c>
      <c r="C8" s="21" t="s">
        <v>84</v>
      </c>
      <c r="D8" s="21" t="s">
        <v>3</v>
      </c>
      <c r="E8" s="5" t="s">
        <v>10</v>
      </c>
      <c r="F8" s="15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workbookViewId="0">
      <selection activeCell="I13" sqref="I13"/>
    </sheetView>
  </sheetViews>
  <sheetFormatPr defaultRowHeight="15" x14ac:dyDescent="0.25"/>
  <cols>
    <col min="1" max="1" width="4.140625" style="8" bestFit="1" customWidth="1"/>
    <col min="2" max="2" width="10" bestFit="1" customWidth="1"/>
    <col min="3" max="3" width="23.7109375" bestFit="1" customWidth="1"/>
    <col min="4" max="4" width="27.28515625" bestFit="1" customWidth="1"/>
    <col min="5" max="5" width="12" bestFit="1" customWidth="1"/>
    <col min="6" max="6" width="15.5703125" style="17" customWidth="1"/>
  </cols>
  <sheetData>
    <row r="2" spans="1:6" x14ac:dyDescent="0.25">
      <c r="A2" s="16" t="s">
        <v>0</v>
      </c>
      <c r="B2" s="16" t="s">
        <v>1</v>
      </c>
      <c r="C2" s="16" t="s">
        <v>2</v>
      </c>
      <c r="D2" s="16" t="s">
        <v>28</v>
      </c>
      <c r="E2" s="16" t="s">
        <v>13</v>
      </c>
      <c r="F2" s="18" t="s">
        <v>12</v>
      </c>
    </row>
    <row r="3" spans="1:6" x14ac:dyDescent="0.25">
      <c r="A3" s="3">
        <v>1</v>
      </c>
      <c r="B3" s="4">
        <v>202200515</v>
      </c>
      <c r="C3" s="4" t="s">
        <v>29</v>
      </c>
      <c r="D3" s="4" t="s">
        <v>6</v>
      </c>
      <c r="E3" s="6" t="s">
        <v>9</v>
      </c>
      <c r="F3" s="11" t="s">
        <v>119</v>
      </c>
    </row>
    <row r="4" spans="1:6" x14ac:dyDescent="0.25">
      <c r="A4" s="3">
        <v>2</v>
      </c>
      <c r="B4" s="4">
        <v>202200514</v>
      </c>
      <c r="C4" s="4" t="s">
        <v>22</v>
      </c>
      <c r="D4" s="4" t="s">
        <v>6</v>
      </c>
      <c r="E4" s="6" t="s">
        <v>9</v>
      </c>
      <c r="F4" s="11" t="s">
        <v>23</v>
      </c>
    </row>
    <row r="5" spans="1:6" x14ac:dyDescent="0.25">
      <c r="A5" s="3">
        <v>3</v>
      </c>
      <c r="B5" s="4">
        <v>202200496</v>
      </c>
      <c r="C5" s="4" t="s">
        <v>30</v>
      </c>
      <c r="D5" s="4" t="s">
        <v>6</v>
      </c>
      <c r="E5" s="6" t="s">
        <v>9</v>
      </c>
      <c r="F5" s="15" t="s">
        <v>120</v>
      </c>
    </row>
    <row r="6" spans="1:6" x14ac:dyDescent="0.25">
      <c r="A6" s="3">
        <v>4</v>
      </c>
      <c r="B6" s="4">
        <v>202200491</v>
      </c>
      <c r="C6" s="4" t="s">
        <v>31</v>
      </c>
      <c r="D6" s="4" t="s">
        <v>6</v>
      </c>
      <c r="E6" s="6" t="s">
        <v>9</v>
      </c>
      <c r="F6" s="15" t="s">
        <v>121</v>
      </c>
    </row>
    <row r="7" spans="1:6" x14ac:dyDescent="0.25">
      <c r="A7" s="3">
        <v>5</v>
      </c>
      <c r="B7" s="4">
        <v>202200486</v>
      </c>
      <c r="C7" s="4" t="s">
        <v>32</v>
      </c>
      <c r="D7" s="4" t="s">
        <v>6</v>
      </c>
      <c r="E7" s="5" t="s">
        <v>10</v>
      </c>
      <c r="F7" s="15" t="s">
        <v>122</v>
      </c>
    </row>
    <row r="8" spans="1:6" x14ac:dyDescent="0.25">
      <c r="A8" s="3">
        <v>6</v>
      </c>
      <c r="B8" s="4">
        <v>202200485</v>
      </c>
      <c r="C8" s="4" t="s">
        <v>33</v>
      </c>
      <c r="D8" s="4" t="s">
        <v>6</v>
      </c>
      <c r="E8" s="5" t="s">
        <v>10</v>
      </c>
      <c r="F8" s="15" t="s">
        <v>123</v>
      </c>
    </row>
    <row r="9" spans="1:6" x14ac:dyDescent="0.25">
      <c r="A9" s="3">
        <v>7</v>
      </c>
      <c r="B9" s="4">
        <v>202200478</v>
      </c>
      <c r="C9" s="4" t="s">
        <v>34</v>
      </c>
      <c r="D9" s="4" t="s">
        <v>6</v>
      </c>
      <c r="E9" s="5" t="s">
        <v>10</v>
      </c>
      <c r="F9" s="15" t="s">
        <v>124</v>
      </c>
    </row>
    <row r="10" spans="1:6" x14ac:dyDescent="0.25">
      <c r="A10" s="3">
        <v>8</v>
      </c>
      <c r="B10" s="4">
        <v>202200476</v>
      </c>
      <c r="C10" s="4" t="s">
        <v>35</v>
      </c>
      <c r="D10" s="4" t="s">
        <v>6</v>
      </c>
      <c r="E10" s="6" t="s">
        <v>9</v>
      </c>
      <c r="F10" s="15" t="s">
        <v>125</v>
      </c>
    </row>
    <row r="11" spans="1:6" x14ac:dyDescent="0.25">
      <c r="A11" s="3">
        <v>9</v>
      </c>
      <c r="B11" s="4">
        <v>202200473</v>
      </c>
      <c r="C11" s="4" t="s">
        <v>36</v>
      </c>
      <c r="D11" s="4" t="s">
        <v>6</v>
      </c>
      <c r="E11" s="5" t="s">
        <v>10</v>
      </c>
      <c r="F11" s="15" t="s">
        <v>126</v>
      </c>
    </row>
    <row r="12" spans="1:6" x14ac:dyDescent="0.25">
      <c r="A12" s="3">
        <v>10</v>
      </c>
      <c r="B12" s="4">
        <v>202200472</v>
      </c>
      <c r="C12" s="4" t="s">
        <v>37</v>
      </c>
      <c r="D12" s="4" t="s">
        <v>6</v>
      </c>
      <c r="E12" s="5" t="s">
        <v>10</v>
      </c>
      <c r="F12" s="15" t="s">
        <v>127</v>
      </c>
    </row>
    <row r="13" spans="1:6" x14ac:dyDescent="0.25">
      <c r="A13" s="3">
        <v>11</v>
      </c>
      <c r="B13" s="4">
        <v>202200468</v>
      </c>
      <c r="C13" s="4" t="s">
        <v>38</v>
      </c>
      <c r="D13" s="4" t="s">
        <v>6</v>
      </c>
      <c r="E13" s="5" t="s">
        <v>10</v>
      </c>
      <c r="F13" s="15" t="s">
        <v>128</v>
      </c>
    </row>
    <row r="14" spans="1:6" x14ac:dyDescent="0.25">
      <c r="A14" s="3">
        <v>12</v>
      </c>
      <c r="B14" s="4">
        <v>202200465</v>
      </c>
      <c r="C14" s="4" t="s">
        <v>21</v>
      </c>
      <c r="D14" s="4" t="s">
        <v>6</v>
      </c>
      <c r="E14" s="6" t="s">
        <v>9</v>
      </c>
      <c r="F14" s="11" t="s">
        <v>24</v>
      </c>
    </row>
    <row r="15" spans="1:6" x14ac:dyDescent="0.25">
      <c r="A15" s="3">
        <v>13</v>
      </c>
      <c r="B15" s="4">
        <v>202200456</v>
      </c>
      <c r="C15" s="4" t="s">
        <v>39</v>
      </c>
      <c r="D15" s="4" t="s">
        <v>6</v>
      </c>
      <c r="E15" s="5" t="s">
        <v>10</v>
      </c>
      <c r="F15" s="15" t="s">
        <v>129</v>
      </c>
    </row>
    <row r="16" spans="1:6" x14ac:dyDescent="0.25">
      <c r="A16" s="3">
        <v>14</v>
      </c>
      <c r="B16" s="4">
        <v>202200454</v>
      </c>
      <c r="C16" s="4" t="s">
        <v>40</v>
      </c>
      <c r="D16" s="4" t="s">
        <v>6</v>
      </c>
      <c r="E16" s="6" t="s">
        <v>9</v>
      </c>
      <c r="F16" s="15" t="s">
        <v>130</v>
      </c>
    </row>
    <row r="17" spans="1:6" x14ac:dyDescent="0.25">
      <c r="A17" s="3">
        <v>15</v>
      </c>
      <c r="B17" s="4">
        <v>202200451</v>
      </c>
      <c r="C17" s="4" t="s">
        <v>41</v>
      </c>
      <c r="D17" s="4" t="s">
        <v>6</v>
      </c>
      <c r="E17" s="6" t="s">
        <v>9</v>
      </c>
      <c r="F17" s="15" t="s">
        <v>8</v>
      </c>
    </row>
    <row r="18" spans="1:6" x14ac:dyDescent="0.25">
      <c r="F18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>
      <selection activeCell="D17" sqref="D17"/>
    </sheetView>
  </sheetViews>
  <sheetFormatPr defaultRowHeight="15" x14ac:dyDescent="0.25"/>
  <cols>
    <col min="1" max="1" width="4.140625" style="8" bestFit="1" customWidth="1"/>
    <col min="2" max="2" width="10" bestFit="1" customWidth="1"/>
    <col min="3" max="3" width="25.5703125" bestFit="1" customWidth="1"/>
    <col min="4" max="4" width="34.42578125" bestFit="1" customWidth="1"/>
    <col min="6" max="6" width="16.7109375" style="19" customWidth="1"/>
  </cols>
  <sheetData>
    <row r="2" spans="1:6" x14ac:dyDescent="0.25">
      <c r="A2" s="16" t="s">
        <v>0</v>
      </c>
      <c r="B2" s="16" t="s">
        <v>1</v>
      </c>
      <c r="C2" s="16" t="s">
        <v>2</v>
      </c>
      <c r="D2" s="16" t="s">
        <v>28</v>
      </c>
      <c r="E2" s="16" t="s">
        <v>13</v>
      </c>
      <c r="F2" s="18" t="s">
        <v>12</v>
      </c>
    </row>
    <row r="3" spans="1:6" x14ac:dyDescent="0.25">
      <c r="A3" s="3">
        <v>1</v>
      </c>
      <c r="B3" s="4">
        <v>202200512</v>
      </c>
      <c r="C3" s="4" t="s">
        <v>42</v>
      </c>
      <c r="D3" s="4" t="s">
        <v>7</v>
      </c>
      <c r="E3" s="6" t="s">
        <v>9</v>
      </c>
      <c r="F3" s="11" t="s">
        <v>131</v>
      </c>
    </row>
    <row r="4" spans="1:6" x14ac:dyDescent="0.25">
      <c r="A4" s="3">
        <v>2</v>
      </c>
      <c r="B4" s="4">
        <v>202200509</v>
      </c>
      <c r="C4" s="4" t="s">
        <v>43</v>
      </c>
      <c r="D4" s="4" t="s">
        <v>7</v>
      </c>
      <c r="E4" s="5" t="s">
        <v>10</v>
      </c>
      <c r="F4" s="11" t="s">
        <v>132</v>
      </c>
    </row>
    <row r="5" spans="1:6" x14ac:dyDescent="0.25">
      <c r="A5" s="3">
        <v>3</v>
      </c>
      <c r="B5" s="4">
        <v>202200506</v>
      </c>
      <c r="C5" s="4" t="s">
        <v>44</v>
      </c>
      <c r="D5" s="4" t="s">
        <v>7</v>
      </c>
      <c r="E5" s="6" t="s">
        <v>9</v>
      </c>
      <c r="F5" s="11" t="s">
        <v>133</v>
      </c>
    </row>
    <row r="6" spans="1:6" x14ac:dyDescent="0.25">
      <c r="A6" s="3">
        <v>4</v>
      </c>
      <c r="B6" s="4">
        <v>202200499</v>
      </c>
      <c r="C6" s="4" t="s">
        <v>45</v>
      </c>
      <c r="D6" s="4" t="s">
        <v>7</v>
      </c>
      <c r="E6" s="6" t="s">
        <v>9</v>
      </c>
      <c r="F6" s="11" t="s">
        <v>134</v>
      </c>
    </row>
    <row r="7" spans="1:6" x14ac:dyDescent="0.25">
      <c r="A7" s="3">
        <v>5</v>
      </c>
      <c r="B7" s="4">
        <v>202200481</v>
      </c>
      <c r="C7" s="4" t="s">
        <v>46</v>
      </c>
      <c r="D7" s="4" t="s">
        <v>7</v>
      </c>
      <c r="E7" s="6" t="s">
        <v>9</v>
      </c>
      <c r="F7" s="11" t="s">
        <v>135</v>
      </c>
    </row>
    <row r="8" spans="1:6" x14ac:dyDescent="0.25">
      <c r="A8" s="3">
        <v>6</v>
      </c>
      <c r="B8" s="4">
        <v>202200480</v>
      </c>
      <c r="C8" s="4" t="s">
        <v>47</v>
      </c>
      <c r="D8" s="4" t="s">
        <v>7</v>
      </c>
      <c r="E8" s="6" t="s">
        <v>9</v>
      </c>
      <c r="F8" s="11" t="s">
        <v>136</v>
      </c>
    </row>
    <row r="9" spans="1:6" x14ac:dyDescent="0.25">
      <c r="A9" s="3">
        <v>7</v>
      </c>
      <c r="B9" s="4">
        <v>202200477</v>
      </c>
      <c r="C9" s="4" t="s">
        <v>48</v>
      </c>
      <c r="D9" s="4" t="s">
        <v>7</v>
      </c>
      <c r="E9" s="6" t="s">
        <v>9</v>
      </c>
      <c r="F9" s="11" t="s">
        <v>26</v>
      </c>
    </row>
    <row r="10" spans="1:6" x14ac:dyDescent="0.25">
      <c r="A10" s="3">
        <v>8</v>
      </c>
      <c r="B10" s="4">
        <v>202200471</v>
      </c>
      <c r="C10" s="4" t="s">
        <v>49</v>
      </c>
      <c r="D10" s="4" t="s">
        <v>7</v>
      </c>
      <c r="E10" s="6" t="s">
        <v>9</v>
      </c>
      <c r="F10" s="15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zoomScale="85" zoomScaleNormal="85" workbookViewId="0">
      <selection activeCell="A3" sqref="A3:A4"/>
    </sheetView>
  </sheetViews>
  <sheetFormatPr defaultRowHeight="15" x14ac:dyDescent="0.25"/>
  <cols>
    <col min="1" max="1" width="4.140625" style="8" bestFit="1" customWidth="1"/>
    <col min="2" max="2" width="10.28515625" bestFit="1" customWidth="1"/>
    <col min="3" max="3" width="25.5703125" bestFit="1" customWidth="1"/>
    <col min="4" max="4" width="25.85546875" bestFit="1" customWidth="1"/>
    <col min="6" max="6" width="15.85546875" style="12" customWidth="1"/>
  </cols>
  <sheetData>
    <row r="2" spans="1:6" x14ac:dyDescent="0.25">
      <c r="A2" s="16" t="s">
        <v>0</v>
      </c>
      <c r="B2" s="16" t="s">
        <v>1</v>
      </c>
      <c r="C2" s="16" t="s">
        <v>2</v>
      </c>
      <c r="D2" s="16" t="s">
        <v>28</v>
      </c>
      <c r="E2" s="16" t="s">
        <v>13</v>
      </c>
      <c r="F2" s="18" t="s">
        <v>12</v>
      </c>
    </row>
    <row r="3" spans="1:6" x14ac:dyDescent="0.25">
      <c r="A3" s="3">
        <v>1</v>
      </c>
      <c r="B3" s="4">
        <v>202200516</v>
      </c>
      <c r="C3" s="4" t="s">
        <v>50</v>
      </c>
      <c r="D3" s="4" t="s">
        <v>4</v>
      </c>
      <c r="E3" s="6" t="s">
        <v>9</v>
      </c>
      <c r="F3" s="13" t="s">
        <v>93</v>
      </c>
    </row>
    <row r="4" spans="1:6" x14ac:dyDescent="0.25">
      <c r="A4" s="3">
        <v>2</v>
      </c>
      <c r="B4" s="4">
        <v>202200511</v>
      </c>
      <c r="C4" s="4" t="s">
        <v>51</v>
      </c>
      <c r="D4" s="4" t="s">
        <v>4</v>
      </c>
      <c r="E4" s="6" t="s">
        <v>9</v>
      </c>
      <c r="F4" s="13" t="s">
        <v>94</v>
      </c>
    </row>
    <row r="5" spans="1:6" x14ac:dyDescent="0.25">
      <c r="A5" s="3">
        <v>3</v>
      </c>
      <c r="B5" s="4">
        <v>202200505</v>
      </c>
      <c r="C5" s="4" t="s">
        <v>52</v>
      </c>
      <c r="D5" s="4" t="s">
        <v>4</v>
      </c>
      <c r="E5" s="6" t="s">
        <v>9</v>
      </c>
      <c r="F5" s="13" t="s">
        <v>95</v>
      </c>
    </row>
    <row r="6" spans="1:6" x14ac:dyDescent="0.25">
      <c r="A6" s="3">
        <v>4</v>
      </c>
      <c r="B6" s="4">
        <v>202200501</v>
      </c>
      <c r="C6" s="4" t="s">
        <v>53</v>
      </c>
      <c r="D6" s="4" t="s">
        <v>4</v>
      </c>
      <c r="E6" s="6" t="s">
        <v>9</v>
      </c>
      <c r="F6" s="13" t="s">
        <v>96</v>
      </c>
    </row>
    <row r="7" spans="1:6" x14ac:dyDescent="0.25">
      <c r="A7" s="3">
        <v>5</v>
      </c>
      <c r="B7" s="4">
        <v>202200498</v>
      </c>
      <c r="C7" s="4" t="s">
        <v>54</v>
      </c>
      <c r="D7" s="4" t="s">
        <v>4</v>
      </c>
      <c r="E7" s="5" t="s">
        <v>10</v>
      </c>
      <c r="F7" s="13" t="s">
        <v>97</v>
      </c>
    </row>
    <row r="8" spans="1:6" x14ac:dyDescent="0.25">
      <c r="A8" s="3">
        <v>6</v>
      </c>
      <c r="B8" s="4">
        <v>202200494</v>
      </c>
      <c r="C8" s="4" t="s">
        <v>55</v>
      </c>
      <c r="D8" s="4" t="s">
        <v>4</v>
      </c>
      <c r="E8" s="6" t="s">
        <v>9</v>
      </c>
      <c r="F8" s="13" t="s">
        <v>98</v>
      </c>
    </row>
    <row r="9" spans="1:6" x14ac:dyDescent="0.25">
      <c r="A9" s="3">
        <v>7</v>
      </c>
      <c r="B9" s="4">
        <v>202200493</v>
      </c>
      <c r="C9" s="4" t="s">
        <v>56</v>
      </c>
      <c r="D9" s="4" t="s">
        <v>4</v>
      </c>
      <c r="E9" s="6" t="s">
        <v>9</v>
      </c>
      <c r="F9" s="13" t="s">
        <v>99</v>
      </c>
    </row>
    <row r="10" spans="1:6" x14ac:dyDescent="0.25">
      <c r="A10" s="3">
        <v>8</v>
      </c>
      <c r="B10" s="4">
        <v>202200492</v>
      </c>
      <c r="C10" s="4" t="s">
        <v>57</v>
      </c>
      <c r="D10" s="4" t="s">
        <v>4</v>
      </c>
      <c r="E10" s="6" t="s">
        <v>9</v>
      </c>
      <c r="F10" s="13" t="s">
        <v>100</v>
      </c>
    </row>
    <row r="11" spans="1:6" x14ac:dyDescent="0.25">
      <c r="A11" s="3">
        <v>9</v>
      </c>
      <c r="B11" s="4">
        <v>202200490</v>
      </c>
      <c r="C11" s="4" t="s">
        <v>58</v>
      </c>
      <c r="D11" s="4" t="s">
        <v>4</v>
      </c>
      <c r="E11" s="6" t="s">
        <v>9</v>
      </c>
      <c r="F11" s="13" t="s">
        <v>101</v>
      </c>
    </row>
    <row r="12" spans="1:6" x14ac:dyDescent="0.25">
      <c r="A12" s="3">
        <v>10</v>
      </c>
      <c r="B12" s="4">
        <v>202200489</v>
      </c>
      <c r="C12" s="4" t="s">
        <v>59</v>
      </c>
      <c r="D12" s="4" t="s">
        <v>4</v>
      </c>
      <c r="E12" s="5" t="s">
        <v>10</v>
      </c>
      <c r="F12" s="13" t="s">
        <v>102</v>
      </c>
    </row>
    <row r="13" spans="1:6" x14ac:dyDescent="0.25">
      <c r="A13" s="3">
        <v>11</v>
      </c>
      <c r="B13" s="4">
        <v>202200484</v>
      </c>
      <c r="C13" s="4" t="s">
        <v>60</v>
      </c>
      <c r="D13" s="4" t="s">
        <v>4</v>
      </c>
      <c r="E13" s="6" t="s">
        <v>9</v>
      </c>
      <c r="F13" s="13" t="s">
        <v>103</v>
      </c>
    </row>
    <row r="14" spans="1:6" x14ac:dyDescent="0.25">
      <c r="A14" s="3">
        <v>12</v>
      </c>
      <c r="B14" s="4">
        <v>202200483</v>
      </c>
      <c r="C14" s="4" t="s">
        <v>61</v>
      </c>
      <c r="D14" s="4" t="s">
        <v>4</v>
      </c>
      <c r="E14" s="6" t="s">
        <v>9</v>
      </c>
      <c r="F14" s="13" t="s">
        <v>104</v>
      </c>
    </row>
    <row r="15" spans="1:6" x14ac:dyDescent="0.25">
      <c r="A15" s="3">
        <v>13</v>
      </c>
      <c r="B15" s="4">
        <v>202200479</v>
      </c>
      <c r="C15" s="4" t="s">
        <v>62</v>
      </c>
      <c r="D15" s="4" t="s">
        <v>4</v>
      </c>
      <c r="E15" s="6" t="s">
        <v>9</v>
      </c>
      <c r="F15" s="13" t="s">
        <v>105</v>
      </c>
    </row>
    <row r="16" spans="1:6" x14ac:dyDescent="0.25">
      <c r="A16" s="3">
        <v>14</v>
      </c>
      <c r="B16" s="4">
        <v>202200469</v>
      </c>
      <c r="C16" s="4" t="s">
        <v>63</v>
      </c>
      <c r="D16" s="4" t="s">
        <v>4</v>
      </c>
      <c r="E16" s="6" t="s">
        <v>9</v>
      </c>
      <c r="F16" s="13" t="s">
        <v>106</v>
      </c>
    </row>
    <row r="17" spans="1:6" x14ac:dyDescent="0.25">
      <c r="A17" s="3">
        <v>15</v>
      </c>
      <c r="B17" s="4">
        <v>202200466</v>
      </c>
      <c r="C17" s="4" t="s">
        <v>64</v>
      </c>
      <c r="D17" s="4" t="s">
        <v>4</v>
      </c>
      <c r="E17" s="6" t="s">
        <v>9</v>
      </c>
      <c r="F17" s="13" t="s">
        <v>107</v>
      </c>
    </row>
    <row r="18" spans="1:6" x14ac:dyDescent="0.25">
      <c r="A18" s="3">
        <v>16</v>
      </c>
      <c r="B18" s="4">
        <v>202200463</v>
      </c>
      <c r="C18" s="4" t="s">
        <v>65</v>
      </c>
      <c r="D18" s="4" t="s">
        <v>4</v>
      </c>
      <c r="E18" s="5" t="s">
        <v>10</v>
      </c>
      <c r="F18" s="13" t="s">
        <v>27</v>
      </c>
    </row>
    <row r="19" spans="1:6" x14ac:dyDescent="0.25">
      <c r="A19" s="3">
        <v>17</v>
      </c>
      <c r="B19" s="4">
        <v>202200460</v>
      </c>
      <c r="C19" s="4" t="s">
        <v>66</v>
      </c>
      <c r="D19" s="4" t="s">
        <v>4</v>
      </c>
      <c r="E19" s="6" t="s">
        <v>9</v>
      </c>
      <c r="F19" s="13" t="s">
        <v>108</v>
      </c>
    </row>
    <row r="20" spans="1:6" x14ac:dyDescent="0.25">
      <c r="A20" s="3">
        <v>18</v>
      </c>
      <c r="B20" s="4">
        <v>202200457</v>
      </c>
      <c r="C20" s="4" t="s">
        <v>67</v>
      </c>
      <c r="D20" s="4" t="s">
        <v>4</v>
      </c>
      <c r="E20" s="6" t="s">
        <v>9</v>
      </c>
      <c r="F20" s="13" t="s">
        <v>109</v>
      </c>
    </row>
    <row r="21" spans="1:6" x14ac:dyDescent="0.25">
      <c r="A21" s="3">
        <v>19</v>
      </c>
      <c r="B21" s="4">
        <v>202200453</v>
      </c>
      <c r="C21" s="4" t="s">
        <v>68</v>
      </c>
      <c r="D21" s="4" t="s">
        <v>4</v>
      </c>
      <c r="E21" s="5" t="s">
        <v>10</v>
      </c>
      <c r="F21" s="13" t="s">
        <v>110</v>
      </c>
    </row>
    <row r="22" spans="1:6" x14ac:dyDescent="0.25">
      <c r="A22" s="3">
        <v>20</v>
      </c>
      <c r="B22" s="4">
        <v>202200452</v>
      </c>
      <c r="C22" s="4" t="s">
        <v>69</v>
      </c>
      <c r="D22" s="4" t="s">
        <v>4</v>
      </c>
      <c r="E22" s="6" t="s">
        <v>9</v>
      </c>
      <c r="F22" s="13" t="s">
        <v>111</v>
      </c>
    </row>
    <row r="23" spans="1:6" x14ac:dyDescent="0.25">
      <c r="A23" s="3">
        <v>1</v>
      </c>
      <c r="B23" s="4">
        <v>202200447</v>
      </c>
      <c r="C23" s="4" t="s">
        <v>70</v>
      </c>
      <c r="D23" s="4" t="s">
        <v>4</v>
      </c>
      <c r="E23" s="5" t="s">
        <v>10</v>
      </c>
      <c r="F23" s="13" t="s">
        <v>112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1"/>
  <sheetViews>
    <sheetView workbookViewId="0">
      <selection activeCell="I11" sqref="I11"/>
    </sheetView>
  </sheetViews>
  <sheetFormatPr defaultRowHeight="15" x14ac:dyDescent="0.25"/>
  <cols>
    <col min="1" max="1" width="4.140625" style="8" bestFit="1" customWidth="1"/>
    <col min="2" max="2" width="10" bestFit="1" customWidth="1"/>
    <col min="3" max="3" width="30.85546875" bestFit="1" customWidth="1"/>
    <col min="4" max="4" width="33.140625" bestFit="1" customWidth="1"/>
    <col min="5" max="5" width="6.42578125" bestFit="1" customWidth="1"/>
    <col min="6" max="6" width="14.5703125" style="12" customWidth="1"/>
  </cols>
  <sheetData>
    <row r="2" spans="1:6" x14ac:dyDescent="0.25">
      <c r="A2" s="16" t="s">
        <v>0</v>
      </c>
      <c r="B2" s="16" t="s">
        <v>1</v>
      </c>
      <c r="C2" s="16" t="s">
        <v>2</v>
      </c>
      <c r="D2" s="16" t="s">
        <v>28</v>
      </c>
      <c r="E2" s="16" t="s">
        <v>13</v>
      </c>
      <c r="F2" s="18" t="s">
        <v>12</v>
      </c>
    </row>
    <row r="3" spans="1:6" x14ac:dyDescent="0.25">
      <c r="A3" s="3">
        <v>1</v>
      </c>
      <c r="B3" s="4">
        <v>202200513</v>
      </c>
      <c r="C3" s="4" t="s">
        <v>71</v>
      </c>
      <c r="D3" s="4" t="s">
        <v>5</v>
      </c>
      <c r="E3" s="6" t="s">
        <v>9</v>
      </c>
      <c r="F3" s="13" t="s">
        <v>86</v>
      </c>
    </row>
    <row r="4" spans="1:6" x14ac:dyDescent="0.25">
      <c r="A4" s="3">
        <v>2</v>
      </c>
      <c r="B4" s="4">
        <v>202200510</v>
      </c>
      <c r="C4" s="4" t="s">
        <v>72</v>
      </c>
      <c r="D4" s="4" t="s">
        <v>5</v>
      </c>
      <c r="E4" s="6" t="s">
        <v>9</v>
      </c>
      <c r="F4" s="13" t="s">
        <v>87</v>
      </c>
    </row>
    <row r="5" spans="1:6" x14ac:dyDescent="0.25">
      <c r="A5" s="3">
        <v>3</v>
      </c>
      <c r="B5" s="4">
        <v>202200508</v>
      </c>
      <c r="C5" s="4" t="s">
        <v>73</v>
      </c>
      <c r="D5" s="4" t="s">
        <v>5</v>
      </c>
      <c r="E5" s="6" t="s">
        <v>9</v>
      </c>
      <c r="F5" s="13" t="s">
        <v>85</v>
      </c>
    </row>
    <row r="6" spans="1:6" x14ac:dyDescent="0.25">
      <c r="A6" s="3">
        <v>4</v>
      </c>
      <c r="B6" s="4">
        <v>202200504</v>
      </c>
      <c r="C6" s="4" t="s">
        <v>74</v>
      </c>
      <c r="D6" s="4" t="s">
        <v>5</v>
      </c>
      <c r="E6" s="5" t="s">
        <v>10</v>
      </c>
      <c r="F6" s="13" t="s">
        <v>88</v>
      </c>
    </row>
    <row r="7" spans="1:6" x14ac:dyDescent="0.25">
      <c r="A7" s="3">
        <v>5</v>
      </c>
      <c r="B7" s="4">
        <v>202200503</v>
      </c>
      <c r="C7" s="4" t="s">
        <v>75</v>
      </c>
      <c r="D7" s="4" t="s">
        <v>5</v>
      </c>
      <c r="E7" s="5" t="s">
        <v>10</v>
      </c>
      <c r="F7" s="13" t="s">
        <v>89</v>
      </c>
    </row>
    <row r="8" spans="1:6" x14ac:dyDescent="0.25">
      <c r="A8" s="3">
        <v>6</v>
      </c>
      <c r="B8" s="4">
        <v>202200500</v>
      </c>
      <c r="C8" s="4" t="s">
        <v>76</v>
      </c>
      <c r="D8" s="4" t="s">
        <v>5</v>
      </c>
      <c r="E8" s="6" t="s">
        <v>9</v>
      </c>
      <c r="F8" s="13" t="s">
        <v>90</v>
      </c>
    </row>
    <row r="9" spans="1:6" x14ac:dyDescent="0.25">
      <c r="A9" s="3">
        <v>7</v>
      </c>
      <c r="B9" s="4">
        <v>202200497</v>
      </c>
      <c r="C9" s="4" t="s">
        <v>77</v>
      </c>
      <c r="D9" s="4" t="s">
        <v>5</v>
      </c>
      <c r="E9" s="6" t="s">
        <v>9</v>
      </c>
      <c r="F9" s="13" t="s">
        <v>91</v>
      </c>
    </row>
    <row r="10" spans="1:6" x14ac:dyDescent="0.25">
      <c r="A10" s="3">
        <v>8</v>
      </c>
      <c r="B10" s="4">
        <v>202200482</v>
      </c>
      <c r="C10" s="4" t="s">
        <v>78</v>
      </c>
      <c r="D10" s="4" t="s">
        <v>5</v>
      </c>
      <c r="E10" s="5" t="s">
        <v>10</v>
      </c>
      <c r="F10" s="13" t="s">
        <v>92</v>
      </c>
    </row>
    <row r="11" spans="1:6" x14ac:dyDescent="0.25">
      <c r="A11" s="3">
        <v>9</v>
      </c>
      <c r="B11" s="4">
        <v>202200461</v>
      </c>
      <c r="C11" s="4" t="s">
        <v>20</v>
      </c>
      <c r="D11" s="4" t="s">
        <v>5</v>
      </c>
      <c r="E11" s="5" t="s">
        <v>10</v>
      </c>
      <c r="F11" s="13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2"/>
  <sheetViews>
    <sheetView topLeftCell="C10" workbookViewId="0">
      <selection activeCell="M27" sqref="M27"/>
    </sheetView>
  </sheetViews>
  <sheetFormatPr defaultRowHeight="15" x14ac:dyDescent="0.25"/>
  <cols>
    <col min="1" max="1" width="4.140625" style="8" bestFit="1" customWidth="1"/>
    <col min="2" max="2" width="8.85546875" style="8" customWidth="1"/>
    <col min="3" max="3" width="34.42578125" bestFit="1" customWidth="1"/>
    <col min="4" max="4" width="9.140625" style="8"/>
    <col min="5" max="5" width="10.28515625" style="8" customWidth="1"/>
    <col min="6" max="6" width="14" style="8" bestFit="1" customWidth="1"/>
    <col min="7" max="7" width="13.85546875" style="8" bestFit="1" customWidth="1"/>
    <col min="8" max="8" width="16.7109375" customWidth="1"/>
  </cols>
  <sheetData>
    <row r="2" spans="1:7" x14ac:dyDescent="0.25">
      <c r="C2" s="22" t="s">
        <v>138</v>
      </c>
    </row>
    <row r="3" spans="1:7" x14ac:dyDescent="0.25">
      <c r="A3" s="3" t="s">
        <v>0</v>
      </c>
      <c r="B3" s="3" t="s">
        <v>14</v>
      </c>
      <c r="C3" s="3" t="s">
        <v>17</v>
      </c>
      <c r="D3" s="3" t="s">
        <v>15</v>
      </c>
      <c r="E3" s="7" t="s">
        <v>16</v>
      </c>
      <c r="F3" s="9" t="s">
        <v>19</v>
      </c>
      <c r="G3" s="10" t="s">
        <v>18</v>
      </c>
    </row>
    <row r="4" spans="1:7" x14ac:dyDescent="0.25">
      <c r="A4" s="3">
        <v>1</v>
      </c>
      <c r="B4" s="3">
        <v>202101</v>
      </c>
      <c r="C4" s="4" t="s">
        <v>6</v>
      </c>
      <c r="D4" s="3">
        <v>100</v>
      </c>
      <c r="E4" s="3">
        <v>70</v>
      </c>
      <c r="F4" s="3">
        <v>52</v>
      </c>
      <c r="G4" s="3">
        <f>E4-F4</f>
        <v>18</v>
      </c>
    </row>
    <row r="5" spans="1:7" x14ac:dyDescent="0.25">
      <c r="A5" s="3">
        <v>2</v>
      </c>
      <c r="B5" s="3">
        <v>202102</v>
      </c>
      <c r="C5" s="4" t="s">
        <v>7</v>
      </c>
      <c r="D5" s="3">
        <v>100</v>
      </c>
      <c r="E5" s="3">
        <v>29</v>
      </c>
      <c r="F5" s="3">
        <v>15</v>
      </c>
      <c r="G5" s="3">
        <f>E5-F5</f>
        <v>14</v>
      </c>
    </row>
    <row r="6" spans="1:7" x14ac:dyDescent="0.25">
      <c r="A6" s="3">
        <v>3</v>
      </c>
      <c r="B6" s="3">
        <v>202103</v>
      </c>
      <c r="C6" s="4" t="s">
        <v>4</v>
      </c>
      <c r="D6" s="3">
        <v>300</v>
      </c>
      <c r="E6" s="3">
        <v>72</v>
      </c>
      <c r="F6" s="3">
        <v>52</v>
      </c>
      <c r="G6" s="3">
        <f>E6-F6</f>
        <v>20</v>
      </c>
    </row>
    <row r="7" spans="1:7" x14ac:dyDescent="0.25">
      <c r="A7" s="3">
        <v>4</v>
      </c>
      <c r="B7" s="3">
        <v>202104</v>
      </c>
      <c r="C7" s="4" t="s">
        <v>5</v>
      </c>
      <c r="D7" s="3">
        <v>100</v>
      </c>
      <c r="E7" s="3">
        <v>21</v>
      </c>
      <c r="F7" s="3">
        <v>15</v>
      </c>
      <c r="G7" s="3">
        <f>E7-F7</f>
        <v>6</v>
      </c>
    </row>
    <row r="8" spans="1:7" x14ac:dyDescent="0.25">
      <c r="A8" s="3">
        <v>5</v>
      </c>
      <c r="B8" s="3">
        <v>202105</v>
      </c>
      <c r="C8" s="4" t="s">
        <v>3</v>
      </c>
      <c r="D8" s="3">
        <v>100</v>
      </c>
      <c r="E8" s="3">
        <v>33</v>
      </c>
      <c r="F8" s="3">
        <v>29</v>
      </c>
      <c r="G8" s="3">
        <f>E8-F8</f>
        <v>4</v>
      </c>
    </row>
    <row r="10" spans="1:7" x14ac:dyDescent="0.25">
      <c r="E10" s="3">
        <f>E4+E5+E6+E7+E8</f>
        <v>225</v>
      </c>
      <c r="F10" s="3">
        <f>F8+F7+F6+F5+F4</f>
        <v>163</v>
      </c>
      <c r="G10" s="3">
        <f>G8+G7+G6+G5+G4</f>
        <v>62</v>
      </c>
    </row>
    <row r="13" spans="1:7" x14ac:dyDescent="0.25">
      <c r="C13" s="22" t="s">
        <v>139</v>
      </c>
    </row>
    <row r="14" spans="1:7" x14ac:dyDescent="0.25">
      <c r="A14" s="3" t="s">
        <v>0</v>
      </c>
      <c r="B14" s="3" t="s">
        <v>14</v>
      </c>
      <c r="C14" s="3" t="s">
        <v>17</v>
      </c>
      <c r="D14" s="3" t="s">
        <v>15</v>
      </c>
      <c r="E14" s="7" t="s">
        <v>16</v>
      </c>
      <c r="F14" s="9" t="s">
        <v>19</v>
      </c>
      <c r="G14" s="10" t="s">
        <v>18</v>
      </c>
    </row>
    <row r="15" spans="1:7" x14ac:dyDescent="0.25">
      <c r="A15" s="3">
        <v>1</v>
      </c>
      <c r="B15" s="3">
        <v>202101</v>
      </c>
      <c r="C15" s="4" t="s">
        <v>6</v>
      </c>
      <c r="D15" s="3">
        <v>100</v>
      </c>
      <c r="E15" s="3">
        <v>17</v>
      </c>
      <c r="F15" s="3">
        <v>8</v>
      </c>
      <c r="G15" s="3">
        <v>9</v>
      </c>
    </row>
    <row r="16" spans="1:7" x14ac:dyDescent="0.25">
      <c r="A16" s="3">
        <v>2</v>
      </c>
      <c r="B16" s="3">
        <v>202102</v>
      </c>
      <c r="C16" s="4" t="s">
        <v>7</v>
      </c>
      <c r="D16" s="3">
        <v>100</v>
      </c>
      <c r="E16" s="3">
        <v>8</v>
      </c>
      <c r="F16" s="3">
        <v>1</v>
      </c>
      <c r="G16" s="3">
        <f>E16-F16</f>
        <v>7</v>
      </c>
    </row>
    <row r="17" spans="1:7" x14ac:dyDescent="0.25">
      <c r="A17" s="3">
        <v>3</v>
      </c>
      <c r="B17" s="3">
        <v>202103</v>
      </c>
      <c r="C17" s="4" t="s">
        <v>4</v>
      </c>
      <c r="D17" s="3">
        <v>300</v>
      </c>
      <c r="E17" s="3">
        <v>21</v>
      </c>
      <c r="F17" s="3">
        <v>4</v>
      </c>
      <c r="G17" s="3">
        <v>17</v>
      </c>
    </row>
    <row r="18" spans="1:7" x14ac:dyDescent="0.25">
      <c r="A18" s="3">
        <v>4</v>
      </c>
      <c r="B18" s="3">
        <v>202104</v>
      </c>
      <c r="C18" s="4" t="s">
        <v>5</v>
      </c>
      <c r="D18" s="3">
        <v>100</v>
      </c>
      <c r="E18" s="3">
        <v>9</v>
      </c>
      <c r="F18" s="3">
        <v>5</v>
      </c>
      <c r="G18" s="3">
        <f>E18-F18</f>
        <v>4</v>
      </c>
    </row>
    <row r="19" spans="1:7" x14ac:dyDescent="0.25">
      <c r="A19" s="3">
        <v>5</v>
      </c>
      <c r="B19" s="3">
        <v>202105</v>
      </c>
      <c r="C19" s="4" t="s">
        <v>3</v>
      </c>
      <c r="D19" s="3">
        <v>100</v>
      </c>
      <c r="E19" s="3">
        <v>6</v>
      </c>
      <c r="F19" s="3">
        <v>2</v>
      </c>
      <c r="G19" s="3">
        <v>4</v>
      </c>
    </row>
    <row r="21" spans="1:7" x14ac:dyDescent="0.25">
      <c r="E21" s="3">
        <f>E15+E16+E17+E18+E19</f>
        <v>61</v>
      </c>
      <c r="F21" s="3">
        <f>F19+F18+F17+F16+F15</f>
        <v>20</v>
      </c>
      <c r="G21" s="3">
        <f>G19+G18+G17+G16+G15</f>
        <v>41</v>
      </c>
    </row>
    <row r="24" spans="1:7" x14ac:dyDescent="0.25">
      <c r="C24" s="22" t="s">
        <v>140</v>
      </c>
    </row>
    <row r="25" spans="1:7" x14ac:dyDescent="0.25">
      <c r="A25" s="3" t="s">
        <v>0</v>
      </c>
      <c r="B25" s="3" t="s">
        <v>14</v>
      </c>
      <c r="C25" s="3" t="s">
        <v>17</v>
      </c>
      <c r="D25" s="3" t="s">
        <v>15</v>
      </c>
      <c r="E25" s="7" t="s">
        <v>16</v>
      </c>
      <c r="F25" s="9" t="s">
        <v>19</v>
      </c>
      <c r="G25" s="10" t="s">
        <v>18</v>
      </c>
    </row>
    <row r="26" spans="1:7" x14ac:dyDescent="0.25">
      <c r="A26">
        <v>1</v>
      </c>
      <c r="B26">
        <v>202101</v>
      </c>
      <c r="C26" t="s">
        <v>6</v>
      </c>
      <c r="D26">
        <v>100</v>
      </c>
      <c r="E26">
        <v>85</v>
      </c>
      <c r="F26">
        <v>60</v>
      </c>
      <c r="G26">
        <v>35</v>
      </c>
    </row>
    <row r="27" spans="1:7" x14ac:dyDescent="0.25">
      <c r="A27">
        <v>2</v>
      </c>
      <c r="B27">
        <v>202102</v>
      </c>
      <c r="C27" t="s">
        <v>7</v>
      </c>
      <c r="D27">
        <v>100</v>
      </c>
      <c r="E27">
        <v>36</v>
      </c>
      <c r="F27">
        <v>19</v>
      </c>
      <c r="G27">
        <v>15</v>
      </c>
    </row>
    <row r="28" spans="1:7" x14ac:dyDescent="0.25">
      <c r="A28">
        <v>3</v>
      </c>
      <c r="B28">
        <v>202103</v>
      </c>
      <c r="C28" t="s">
        <v>4</v>
      </c>
      <c r="D28">
        <v>300</v>
      </c>
      <c r="E28">
        <v>93</v>
      </c>
      <c r="F28">
        <v>60</v>
      </c>
      <c r="G28">
        <v>49</v>
      </c>
    </row>
    <row r="29" spans="1:7" x14ac:dyDescent="0.25">
      <c r="A29">
        <v>4</v>
      </c>
      <c r="B29">
        <v>202104</v>
      </c>
      <c r="C29" t="s">
        <v>5</v>
      </c>
      <c r="D29">
        <v>100</v>
      </c>
      <c r="E29">
        <v>28</v>
      </c>
      <c r="F29">
        <v>19</v>
      </c>
      <c r="G29">
        <v>12</v>
      </c>
    </row>
    <row r="30" spans="1:7" x14ac:dyDescent="0.25">
      <c r="A30">
        <v>5</v>
      </c>
      <c r="B30">
        <v>202105</v>
      </c>
      <c r="C30" t="s">
        <v>3</v>
      </c>
      <c r="D30">
        <v>100</v>
      </c>
      <c r="E30">
        <v>38</v>
      </c>
      <c r="F30">
        <v>34</v>
      </c>
      <c r="G30">
        <v>25</v>
      </c>
    </row>
    <row r="32" spans="1:7" x14ac:dyDescent="0.25">
      <c r="E32" s="3">
        <f>E30+E29+E28+E27+E26</f>
        <v>280</v>
      </c>
      <c r="F32" s="3">
        <f>F30+F29+F28+F27+F26</f>
        <v>192</v>
      </c>
      <c r="G32" s="3">
        <f>G30+G29+G28+G27+G26</f>
        <v>136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EKS</vt:lpstr>
      <vt:lpstr>IQT</vt:lpstr>
      <vt:lpstr>KPI</vt:lpstr>
      <vt:lpstr>PAI</vt:lpstr>
      <vt:lpstr>PIAUD</vt:lpstr>
      <vt:lpstr>All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Ingat Waktu Sholat</dc:creator>
  <cp:lastModifiedBy>Ingat Waktu Sholat</cp:lastModifiedBy>
  <dcterms:created xsi:type="dcterms:W3CDTF">2022-04-19T00:43:20Z</dcterms:created>
  <dcterms:modified xsi:type="dcterms:W3CDTF">2022-06-30T06:59:45Z</dcterms:modified>
</cp:coreProperties>
</file>